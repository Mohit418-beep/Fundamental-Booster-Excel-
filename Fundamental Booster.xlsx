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2aef2d44e2cec5/Desktop/"/>
    </mc:Choice>
  </mc:AlternateContent>
  <xr:revisionPtr revIDLastSave="270" documentId="13_ncr:1_{EFD131A0-ECC1-4354-91B4-2C3B8D04F58D}" xr6:coauthVersionLast="47" xr6:coauthVersionMax="47" xr10:uidLastSave="{6D1AC12D-EE55-4DE4-ABC8-954995C5B8E2}"/>
  <bookViews>
    <workbookView xWindow="-108" yWindow="-108" windowWidth="23256" windowHeight="12456" xr2:uid="{EBDC4B07-2319-4F2D-979E-1163B57E57B7}"/>
  </bookViews>
  <sheets>
    <sheet name="Fundamental Bo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9" i="1" l="1"/>
  <c r="H169" i="1"/>
  <c r="C161" i="1"/>
  <c r="G118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96" i="1"/>
  <c r="G72" i="1"/>
  <c r="H72" i="1" s="1"/>
  <c r="I72" i="1" s="1"/>
  <c r="G236" i="1"/>
  <c r="G235" i="1"/>
  <c r="G216" i="1"/>
  <c r="G218" i="1"/>
  <c r="G214" i="1"/>
  <c r="D207" i="1"/>
  <c r="E207" i="1"/>
  <c r="C20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I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50" i="1"/>
  <c r="H50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27" i="1"/>
  <c r="H27" i="1" s="1"/>
</calcChain>
</file>

<file path=xl/sharedStrings.xml><?xml version="1.0" encoding="utf-8"?>
<sst xmlns="http://schemas.openxmlformats.org/spreadsheetml/2006/main" count="634" uniqueCount="99">
  <si>
    <t>Relative &amp; Absolute Cell References, Formatting, and Data Input</t>
  </si>
  <si>
    <t>Essentail Tasks</t>
  </si>
  <si>
    <t xml:space="preserve"> Enter and format data (bold, italic, currency, date, custom formats).</t>
  </si>
  <si>
    <t>Name</t>
  </si>
  <si>
    <t>Using IF Formula &amp; Nesting IF Formulas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</si>
  <si>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</si>
  <si>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</si>
  <si>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</si>
  <si>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</si>
  <si>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</si>
  <si>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</si>
  <si>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</si>
  <si>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</si>
  <si>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</si>
  <si>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</si>
  <si>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</si>
  <si>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</si>
  <si>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</si>
  <si>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</si>
  <si>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</si>
  <si>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</si>
  <si>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</si>
  <si>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</si>
  <si>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</si>
  <si>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</si>
  <si>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</si>
  <si>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</si>
  <si>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</si>
  <si>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</si>
  <si>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</si>
  <si>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</si>
  <si>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</si>
  <si>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</si>
  <si>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</si>
  <si>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</si>
  <si>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</si>
  <si>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</si>
  <si>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</si>
  <si>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</si>
  <si>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</si>
  <si>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Use absolute ($A$1) and relative (A1) references in formulas.</t>
  </si>
  <si>
    <t>Discount AMT</t>
  </si>
  <si>
    <t>FINAL RATE</t>
  </si>
  <si>
    <t>DISCOUNT(%)</t>
  </si>
  <si>
    <t>Classify students' grades based on their scores.</t>
  </si>
  <si>
    <t>Student ID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</si>
  <si>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</si>
  <si>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</si>
  <si>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</si>
  <si>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</si>
  <si>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</si>
  <si>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</si>
  <si>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</si>
  <si>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</si>
  <si>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</si>
  <si>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</si>
  <si>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</si>
  <si>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</si>
  <si>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</si>
  <si>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</si>
  <si>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</si>
  <si>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</si>
  <si>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</si>
  <si>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</si>
  <si>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</si>
  <si>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</si>
  <si>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</si>
  <si>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</si>
  <si>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</si>
  <si>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</si>
  <si>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 xml:space="preserve">TOTAL </t>
  </si>
  <si>
    <t>GRADE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</si>
  <si>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</si>
  <si>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</si>
  <si>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</si>
  <si>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Compute discounts for sales based on price thresholds.</t>
  </si>
  <si>
    <t>DISCOUNT AMT</t>
  </si>
  <si>
    <t>DISCOUNT STATUS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</si>
  <si>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</si>
  <si>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</si>
  <si>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</si>
  <si>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</si>
  <si>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</si>
  <si>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</si>
  <si>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</si>
  <si>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</si>
  <si>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</si>
  <si>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 xml:space="preserve"> </t>
  </si>
  <si>
    <t xml:space="preserve">RESULT </t>
  </si>
  <si>
    <t>Cell</t>
  </si>
  <si>
    <t>Description</t>
  </si>
  <si>
    <t>Value</t>
  </si>
  <si>
    <t>H2</t>
  </si>
  <si>
    <t>H3</t>
  </si>
  <si>
    <t>Month</t>
  </si>
  <si>
    <t>East(Keyboard)</t>
  </si>
  <si>
    <t>West(Printer)</t>
  </si>
  <si>
    <t xml:space="preserve">
</t>
  </si>
  <si>
    <t>Look up employee details dynamically without column restrictions.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</si>
</sst>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Italtic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165" fontId="5" fillId="6" borderId="3" xfId="2" applyNumberFormat="1" applyFont="1" applyFill="1" applyBorder="1" applyAlignment="1">
      <alignment horizontal="center" vertical="center"/>
    </xf>
    <xf numFmtId="14" fontId="5" fillId="6" borderId="3" xfId="2" applyNumberFormat="1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165" fontId="5" fillId="6" borderId="4" xfId="2" applyNumberFormat="1" applyFont="1" applyFill="1" applyBorder="1" applyAlignment="1">
      <alignment horizontal="center" vertical="center"/>
    </xf>
    <xf numFmtId="14" fontId="5" fillId="6" borderId="4" xfId="2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0" fontId="0" fillId="8" borderId="0" xfId="0" applyFill="1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2" xfId="0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0" xfId="0" applyFill="1"/>
    <xf numFmtId="0" fontId="7" fillId="5" borderId="18" xfId="0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3">
    <cellStyle name="Normal" xfId="0" builtinId="0"/>
    <cellStyle name="Normal 2" xfId="2" xr:uid="{17157425-BC02-4D59-8F18-2B68192A0EB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975D-8887-45E7-B1BC-8063483E85EA}">
  <dimension ref="A1:M277"/>
  <sheetViews>
    <sheetView tabSelected="1" topLeftCell="A249" zoomScale="90" zoomScaleNormal="100" workbookViewId="0">
      <selection activeCell="G260" sqref="G260"/>
    </sheetView>
  </sheetViews>
  <sheetFormatPr defaultRowHeight="14.4"/>
  <cols>
    <col min="1" max="1" width="12.21875" customWidth="1"/>
    <col min="2" max="2" width="12.6640625" customWidth="1"/>
    <col min="3" max="3" width="12.109375" customWidth="1"/>
    <col min="4" max="4" width="17.33203125" customWidth="1"/>
    <col min="5" max="5" width="15.88671875" customWidth="1"/>
    <col min="6" max="6" width="22.88671875" customWidth="1"/>
    <col min="7" max="7" width="20.6640625" customWidth="1"/>
    <col min="8" max="8" width="16.88671875" customWidth="1"/>
    <col min="9" max="9" width="17.88671875" customWidth="1"/>
    <col min="10" max="10" width="15" customWidth="1"/>
    <col min="11" max="11" width="13.77734375" customWidth="1"/>
    <col min="12" max="12" width="14.44140625" customWidth="1"/>
    <col min="13" max="13" width="30.109375" customWidth="1"/>
  </cols>
  <sheetData>
    <row r="1" spans="1:7">
      <c r="A1" s="38" t="s">
        <v>1</v>
      </c>
      <c r="B1" s="38"/>
      <c r="C1" s="38"/>
      <c r="D1" s="38"/>
      <c r="E1" s="38"/>
      <c r="F1" s="38"/>
      <c r="G1" s="38"/>
    </row>
    <row r="2" spans="1:7" ht="14.4" customHeight="1">
      <c r="A2" s="39" t="s">
        <v>0</v>
      </c>
      <c r="B2" s="39"/>
      <c r="C2" s="39"/>
      <c r="D2" s="39"/>
      <c r="E2" s="39"/>
      <c r="F2" s="39"/>
      <c r="G2" s="39"/>
    </row>
    <row r="3" spans="1:7">
      <c r="A3" s="40" t="s">
        <v>2</v>
      </c>
      <c r="B3" s="41"/>
      <c r="C3" s="41"/>
      <c r="D3" s="41"/>
      <c r="E3" s="41"/>
      <c r="F3" s="41"/>
      <c r="G3" s="41"/>
    </row>
    <row r="4" spans="1: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7">
      <c r="A5" s="3">
        <v>2001</v>
      </c>
      <c r="B5" s="3" t="s">
        <v>11</v>
      </c>
      <c r="C5" s="3" t="s">
        <v>12</v>
      </c>
      <c r="D5" s="3" t="s">
        <v>13</v>
      </c>
      <c r="E5" s="4">
        <v>7048</v>
      </c>
      <c r="F5" s="5">
        <v>44927</v>
      </c>
    </row>
    <row r="6" spans="1:7">
      <c r="A6" s="3">
        <v>2002</v>
      </c>
      <c r="B6" s="3" t="s">
        <v>14</v>
      </c>
      <c r="C6" s="3" t="s">
        <v>15</v>
      </c>
      <c r="D6" s="3" t="s">
        <v>16</v>
      </c>
      <c r="E6" s="4">
        <v>17428</v>
      </c>
      <c r="F6" s="5">
        <v>44942</v>
      </c>
    </row>
    <row r="7" spans="1:7">
      <c r="A7" s="3">
        <v>2003</v>
      </c>
      <c r="B7" s="3" t="s">
        <v>17</v>
      </c>
      <c r="C7" s="3" t="s">
        <v>12</v>
      </c>
      <c r="D7" s="3" t="s">
        <v>18</v>
      </c>
      <c r="E7" s="4">
        <v>23672</v>
      </c>
      <c r="F7" s="5">
        <v>44957</v>
      </c>
    </row>
    <row r="8" spans="1:7">
      <c r="A8" s="3">
        <v>2004</v>
      </c>
      <c r="B8" s="3" t="s">
        <v>14</v>
      </c>
      <c r="C8" s="3" t="s">
        <v>19</v>
      </c>
      <c r="D8" s="3" t="s">
        <v>20</v>
      </c>
      <c r="E8" s="4">
        <v>5264</v>
      </c>
      <c r="F8" s="5">
        <v>44972</v>
      </c>
    </row>
    <row r="9" spans="1:7">
      <c r="A9" s="3">
        <v>2005</v>
      </c>
      <c r="B9" s="3" t="s">
        <v>11</v>
      </c>
      <c r="C9" s="3" t="s">
        <v>21</v>
      </c>
      <c r="D9" s="3" t="s">
        <v>22</v>
      </c>
      <c r="E9" s="4">
        <v>43388</v>
      </c>
      <c r="F9" s="5">
        <v>44987</v>
      </c>
    </row>
    <row r="10" spans="1:7">
      <c r="A10" s="3">
        <v>2006</v>
      </c>
      <c r="B10" s="3" t="s">
        <v>17</v>
      </c>
      <c r="C10" s="3" t="s">
        <v>21</v>
      </c>
      <c r="D10" s="3" t="s">
        <v>23</v>
      </c>
      <c r="E10" s="4">
        <v>19757</v>
      </c>
      <c r="F10" s="5">
        <v>45002</v>
      </c>
    </row>
    <row r="11" spans="1:7">
      <c r="A11" s="3">
        <v>2007</v>
      </c>
      <c r="B11" s="3" t="s">
        <v>17</v>
      </c>
      <c r="C11" s="3" t="s">
        <v>19</v>
      </c>
      <c r="D11" s="3" t="s">
        <v>24</v>
      </c>
      <c r="E11" s="4">
        <v>32058</v>
      </c>
      <c r="F11" s="5">
        <v>45017</v>
      </c>
    </row>
    <row r="12" spans="1:7">
      <c r="A12" s="3">
        <v>2008</v>
      </c>
      <c r="B12" s="3" t="s">
        <v>11</v>
      </c>
      <c r="C12" s="3" t="s">
        <v>19</v>
      </c>
      <c r="D12" s="3" t="s">
        <v>25</v>
      </c>
      <c r="E12" s="4">
        <v>46429</v>
      </c>
      <c r="F12" s="5">
        <v>45032</v>
      </c>
    </row>
    <row r="13" spans="1:7">
      <c r="A13" s="3">
        <v>2009</v>
      </c>
      <c r="B13" s="3" t="s">
        <v>14</v>
      </c>
      <c r="C13" s="3" t="s">
        <v>19</v>
      </c>
      <c r="D13" s="3" t="s">
        <v>26</v>
      </c>
      <c r="E13" s="4">
        <v>19746</v>
      </c>
      <c r="F13" s="5">
        <v>45047</v>
      </c>
    </row>
    <row r="14" spans="1:7">
      <c r="A14" s="3">
        <v>2010</v>
      </c>
      <c r="B14" s="3" t="s">
        <v>11</v>
      </c>
      <c r="C14" s="3" t="s">
        <v>12</v>
      </c>
      <c r="D14" s="3" t="s">
        <v>27</v>
      </c>
      <c r="E14" s="4">
        <v>35185</v>
      </c>
      <c r="F14" s="5">
        <v>45062</v>
      </c>
    </row>
    <row r="15" spans="1:7">
      <c r="A15" s="3">
        <v>2011</v>
      </c>
      <c r="B15" s="3" t="s">
        <v>11</v>
      </c>
      <c r="C15" s="3" t="s">
        <v>19</v>
      </c>
      <c r="D15" s="3" t="s">
        <v>28</v>
      </c>
      <c r="E15" s="4">
        <v>33920</v>
      </c>
      <c r="F15" s="5">
        <v>45077</v>
      </c>
    </row>
    <row r="16" spans="1:7">
      <c r="A16" s="3">
        <v>2012</v>
      </c>
      <c r="B16" s="3" t="s">
        <v>29</v>
      </c>
      <c r="C16" s="3" t="s">
        <v>21</v>
      </c>
      <c r="D16" s="3" t="s">
        <v>30</v>
      </c>
      <c r="E16" s="4">
        <v>35611</v>
      </c>
      <c r="F16" s="5">
        <v>45092</v>
      </c>
    </row>
    <row r="17" spans="1:11">
      <c r="A17" s="3">
        <v>2013</v>
      </c>
      <c r="B17" s="3" t="s">
        <v>31</v>
      </c>
      <c r="C17" s="3" t="s">
        <v>19</v>
      </c>
      <c r="D17" s="3" t="s">
        <v>32</v>
      </c>
      <c r="E17" s="4">
        <v>15560</v>
      </c>
      <c r="F17" s="5">
        <v>45107</v>
      </c>
    </row>
    <row r="18" spans="1:11">
      <c r="A18" s="3">
        <v>2014</v>
      </c>
      <c r="B18" s="3" t="s">
        <v>31</v>
      </c>
      <c r="C18" s="3" t="s">
        <v>12</v>
      </c>
      <c r="D18" s="3" t="s">
        <v>33</v>
      </c>
      <c r="E18" s="4">
        <v>7283</v>
      </c>
      <c r="F18" s="5">
        <v>45122</v>
      </c>
    </row>
    <row r="19" spans="1:11">
      <c r="A19" s="3">
        <v>2015</v>
      </c>
      <c r="B19" s="3" t="s">
        <v>31</v>
      </c>
      <c r="C19" s="3" t="s">
        <v>19</v>
      </c>
      <c r="D19" s="3" t="s">
        <v>34</v>
      </c>
      <c r="E19" s="4">
        <v>15678</v>
      </c>
      <c r="F19" s="5">
        <v>45137</v>
      </c>
    </row>
    <row r="20" spans="1:11">
      <c r="A20" s="3">
        <v>2016</v>
      </c>
      <c r="B20" s="3" t="s">
        <v>17</v>
      </c>
      <c r="C20" s="3" t="s">
        <v>19</v>
      </c>
      <c r="D20" s="3" t="s">
        <v>35</v>
      </c>
      <c r="E20" s="4">
        <v>5277</v>
      </c>
      <c r="F20" s="5">
        <v>45152</v>
      </c>
    </row>
    <row r="21" spans="1:11">
      <c r="A21" s="3">
        <v>2017</v>
      </c>
      <c r="B21" s="3" t="s">
        <v>29</v>
      </c>
      <c r="C21" s="3" t="s">
        <v>21</v>
      </c>
      <c r="D21" s="3" t="s">
        <v>36</v>
      </c>
      <c r="E21" s="4">
        <v>41871</v>
      </c>
      <c r="F21" s="5">
        <v>45167</v>
      </c>
    </row>
    <row r="22" spans="1:11">
      <c r="A22" s="3">
        <v>2018</v>
      </c>
      <c r="B22" s="3" t="s">
        <v>29</v>
      </c>
      <c r="C22" s="3" t="s">
        <v>15</v>
      </c>
      <c r="D22" s="3" t="s">
        <v>37</v>
      </c>
      <c r="E22" s="4">
        <v>38161</v>
      </c>
      <c r="F22" s="5">
        <v>45182</v>
      </c>
    </row>
    <row r="23" spans="1:11">
      <c r="A23" s="3">
        <v>2019</v>
      </c>
      <c r="B23" s="3" t="s">
        <v>17</v>
      </c>
      <c r="C23" s="3" t="s">
        <v>15</v>
      </c>
      <c r="D23" s="3" t="s">
        <v>38</v>
      </c>
      <c r="E23" s="4">
        <v>30436</v>
      </c>
      <c r="F23" s="5">
        <v>45197</v>
      </c>
    </row>
    <row r="24" spans="1:11">
      <c r="A24" s="6">
        <v>2020</v>
      </c>
      <c r="B24" s="6" t="s">
        <v>14</v>
      </c>
      <c r="C24" s="6" t="s">
        <v>15</v>
      </c>
      <c r="D24" s="6" t="s">
        <v>39</v>
      </c>
      <c r="E24" s="7">
        <v>33953</v>
      </c>
      <c r="F24" s="8">
        <v>45212</v>
      </c>
    </row>
    <row r="25" spans="1:11">
      <c r="A25" s="34" t="s">
        <v>40</v>
      </c>
      <c r="B25" s="34"/>
      <c r="C25" s="34"/>
      <c r="D25" s="34"/>
      <c r="E25" s="34"/>
      <c r="F25" s="34"/>
      <c r="G25" s="34"/>
    </row>
    <row r="26" spans="1:11">
      <c r="A26" s="9" t="s">
        <v>5</v>
      </c>
      <c r="B26" s="9" t="s">
        <v>6</v>
      </c>
      <c r="C26" s="9" t="s">
        <v>7</v>
      </c>
      <c r="D26" s="9" t="s">
        <v>8</v>
      </c>
      <c r="E26" s="9" t="s">
        <v>9</v>
      </c>
      <c r="F26" s="9" t="s">
        <v>10</v>
      </c>
      <c r="G26" s="10" t="s">
        <v>41</v>
      </c>
      <c r="H26" s="10" t="s">
        <v>42</v>
      </c>
    </row>
    <row r="27" spans="1:11">
      <c r="A27" s="11">
        <v>2001</v>
      </c>
      <c r="B27" s="11" t="s">
        <v>11</v>
      </c>
      <c r="C27" s="11" t="s">
        <v>12</v>
      </c>
      <c r="D27" s="11" t="s">
        <v>13</v>
      </c>
      <c r="E27" s="11">
        <v>7048</v>
      </c>
      <c r="F27" s="12">
        <v>44927</v>
      </c>
      <c r="G27" s="13">
        <f>E27*$K$28</f>
        <v>563.84</v>
      </c>
      <c r="H27" s="13">
        <f>E27-G27</f>
        <v>6484.16</v>
      </c>
    </row>
    <row r="28" spans="1:11">
      <c r="A28" s="11">
        <v>2002</v>
      </c>
      <c r="B28" s="11" t="s">
        <v>14</v>
      </c>
      <c r="C28" s="11" t="s">
        <v>15</v>
      </c>
      <c r="D28" s="11" t="s">
        <v>16</v>
      </c>
      <c r="E28" s="11">
        <v>17428</v>
      </c>
      <c r="F28" s="12">
        <v>44942</v>
      </c>
      <c r="G28" s="13">
        <f t="shared" ref="G28:G46" si="0">E28*$K$28</f>
        <v>1394.24</v>
      </c>
      <c r="H28" s="13">
        <f t="shared" ref="H28:H46" si="1">E28-G28</f>
        <v>16033.76</v>
      </c>
      <c r="J28" s="1" t="s">
        <v>43</v>
      </c>
      <c r="K28" s="14">
        <v>0.08</v>
      </c>
    </row>
    <row r="29" spans="1:11">
      <c r="A29" s="11">
        <v>2003</v>
      </c>
      <c r="B29" s="11" t="s">
        <v>17</v>
      </c>
      <c r="C29" s="11" t="s">
        <v>12</v>
      </c>
      <c r="D29" s="11" t="s">
        <v>18</v>
      </c>
      <c r="E29" s="11">
        <v>23672</v>
      </c>
      <c r="F29" s="12">
        <v>44957</v>
      </c>
      <c r="G29" s="13">
        <f t="shared" si="0"/>
        <v>1893.76</v>
      </c>
      <c r="H29" s="13">
        <f t="shared" si="1"/>
        <v>21778.240000000002</v>
      </c>
    </row>
    <row r="30" spans="1:11">
      <c r="A30" s="11">
        <v>2004</v>
      </c>
      <c r="B30" s="11" t="s">
        <v>14</v>
      </c>
      <c r="C30" s="11" t="s">
        <v>19</v>
      </c>
      <c r="D30" s="11" t="s">
        <v>20</v>
      </c>
      <c r="E30" s="11">
        <v>5264</v>
      </c>
      <c r="F30" s="12">
        <v>44972</v>
      </c>
      <c r="G30" s="13">
        <f t="shared" si="0"/>
        <v>421.12</v>
      </c>
      <c r="H30" s="13">
        <f t="shared" si="1"/>
        <v>4842.88</v>
      </c>
    </row>
    <row r="31" spans="1:11">
      <c r="A31" s="11">
        <v>2005</v>
      </c>
      <c r="B31" s="11" t="s">
        <v>11</v>
      </c>
      <c r="C31" s="11" t="s">
        <v>21</v>
      </c>
      <c r="D31" s="11" t="s">
        <v>22</v>
      </c>
      <c r="E31" s="11">
        <v>43388</v>
      </c>
      <c r="F31" s="12">
        <v>44987</v>
      </c>
      <c r="G31" s="13">
        <f t="shared" si="0"/>
        <v>3471.04</v>
      </c>
      <c r="H31" s="13">
        <f t="shared" si="1"/>
        <v>39916.959999999999</v>
      </c>
    </row>
    <row r="32" spans="1:11">
      <c r="A32" s="11">
        <v>2006</v>
      </c>
      <c r="B32" s="11" t="s">
        <v>17</v>
      </c>
      <c r="C32" s="11" t="s">
        <v>21</v>
      </c>
      <c r="D32" s="11" t="s">
        <v>23</v>
      </c>
      <c r="E32" s="11">
        <v>19757</v>
      </c>
      <c r="F32" s="12">
        <v>45002</v>
      </c>
      <c r="G32" s="13">
        <f t="shared" si="0"/>
        <v>1580.56</v>
      </c>
      <c r="H32" s="13">
        <f t="shared" si="1"/>
        <v>18176.439999999999</v>
      </c>
    </row>
    <row r="33" spans="1:8">
      <c r="A33" s="11">
        <v>2007</v>
      </c>
      <c r="B33" s="11" t="s">
        <v>17</v>
      </c>
      <c r="C33" s="11" t="s">
        <v>19</v>
      </c>
      <c r="D33" s="11" t="s">
        <v>24</v>
      </c>
      <c r="E33" s="11">
        <v>32058</v>
      </c>
      <c r="F33" s="12">
        <v>45017</v>
      </c>
      <c r="G33" s="13">
        <f t="shared" si="0"/>
        <v>2564.64</v>
      </c>
      <c r="H33" s="13">
        <f t="shared" si="1"/>
        <v>29493.360000000001</v>
      </c>
    </row>
    <row r="34" spans="1:8">
      <c r="A34" s="11">
        <v>2008</v>
      </c>
      <c r="B34" s="11" t="s">
        <v>11</v>
      </c>
      <c r="C34" s="11" t="s">
        <v>19</v>
      </c>
      <c r="D34" s="11" t="s">
        <v>25</v>
      </c>
      <c r="E34" s="11">
        <v>46429</v>
      </c>
      <c r="F34" s="12">
        <v>45032</v>
      </c>
      <c r="G34" s="13">
        <f t="shared" si="0"/>
        <v>3714.32</v>
      </c>
      <c r="H34" s="13">
        <f t="shared" si="1"/>
        <v>42714.68</v>
      </c>
    </row>
    <row r="35" spans="1:8">
      <c r="A35" s="11">
        <v>2009</v>
      </c>
      <c r="B35" s="11" t="s">
        <v>14</v>
      </c>
      <c r="C35" s="11" t="s">
        <v>19</v>
      </c>
      <c r="D35" s="11" t="s">
        <v>26</v>
      </c>
      <c r="E35" s="11">
        <v>19746</v>
      </c>
      <c r="F35" s="12">
        <v>45047</v>
      </c>
      <c r="G35" s="13">
        <f t="shared" si="0"/>
        <v>1579.68</v>
      </c>
      <c r="H35" s="13">
        <f t="shared" si="1"/>
        <v>18166.32</v>
      </c>
    </row>
    <row r="36" spans="1:8">
      <c r="A36" s="11">
        <v>2010</v>
      </c>
      <c r="B36" s="11" t="s">
        <v>11</v>
      </c>
      <c r="C36" s="11" t="s">
        <v>12</v>
      </c>
      <c r="D36" s="11" t="s">
        <v>27</v>
      </c>
      <c r="E36" s="11">
        <v>35185</v>
      </c>
      <c r="F36" s="12">
        <v>45062</v>
      </c>
      <c r="G36" s="13">
        <f t="shared" si="0"/>
        <v>2814.8</v>
      </c>
      <c r="H36" s="13">
        <f t="shared" si="1"/>
        <v>32370.2</v>
      </c>
    </row>
    <row r="37" spans="1:8">
      <c r="A37" s="11">
        <v>2011</v>
      </c>
      <c r="B37" s="11" t="s">
        <v>11</v>
      </c>
      <c r="C37" s="11" t="s">
        <v>19</v>
      </c>
      <c r="D37" s="11" t="s">
        <v>28</v>
      </c>
      <c r="E37" s="11">
        <v>33920</v>
      </c>
      <c r="F37" s="12">
        <v>45077</v>
      </c>
      <c r="G37" s="13">
        <f t="shared" si="0"/>
        <v>2713.6</v>
      </c>
      <c r="H37" s="13">
        <f t="shared" si="1"/>
        <v>31206.400000000001</v>
      </c>
    </row>
    <row r="38" spans="1:8">
      <c r="A38" s="11">
        <v>2012</v>
      </c>
      <c r="B38" s="11" t="s">
        <v>29</v>
      </c>
      <c r="C38" s="11" t="s">
        <v>21</v>
      </c>
      <c r="D38" s="11" t="s">
        <v>30</v>
      </c>
      <c r="E38" s="11">
        <v>35611</v>
      </c>
      <c r="F38" s="12">
        <v>45092</v>
      </c>
      <c r="G38" s="13">
        <f t="shared" si="0"/>
        <v>2848.88</v>
      </c>
      <c r="H38" s="13">
        <f t="shared" si="1"/>
        <v>32762.12</v>
      </c>
    </row>
    <row r="39" spans="1:8">
      <c r="A39" s="11">
        <v>2013</v>
      </c>
      <c r="B39" s="11" t="s">
        <v>31</v>
      </c>
      <c r="C39" s="11" t="s">
        <v>19</v>
      </c>
      <c r="D39" s="11" t="s">
        <v>32</v>
      </c>
      <c r="E39" s="11">
        <v>15560</v>
      </c>
      <c r="F39" s="12">
        <v>45107</v>
      </c>
      <c r="G39" s="13">
        <f t="shared" si="0"/>
        <v>1244.8</v>
      </c>
      <c r="H39" s="13">
        <f t="shared" si="1"/>
        <v>14315.2</v>
      </c>
    </row>
    <row r="40" spans="1:8">
      <c r="A40" s="11">
        <v>2014</v>
      </c>
      <c r="B40" s="11" t="s">
        <v>31</v>
      </c>
      <c r="C40" s="11" t="s">
        <v>12</v>
      </c>
      <c r="D40" s="11" t="s">
        <v>33</v>
      </c>
      <c r="E40" s="11">
        <v>7283</v>
      </c>
      <c r="F40" s="12">
        <v>45122</v>
      </c>
      <c r="G40" s="13">
        <f t="shared" si="0"/>
        <v>582.64</v>
      </c>
      <c r="H40" s="13">
        <f t="shared" si="1"/>
        <v>6700.36</v>
      </c>
    </row>
    <row r="41" spans="1:8">
      <c r="A41" s="11">
        <v>2015</v>
      </c>
      <c r="B41" s="11" t="s">
        <v>31</v>
      </c>
      <c r="C41" s="11" t="s">
        <v>19</v>
      </c>
      <c r="D41" s="11" t="s">
        <v>34</v>
      </c>
      <c r="E41" s="11">
        <v>15678</v>
      </c>
      <c r="F41" s="12">
        <v>45137</v>
      </c>
      <c r="G41" s="13">
        <f t="shared" si="0"/>
        <v>1254.24</v>
      </c>
      <c r="H41" s="13">
        <f t="shared" si="1"/>
        <v>14423.76</v>
      </c>
    </row>
    <row r="42" spans="1:8">
      <c r="A42" s="11">
        <v>2016</v>
      </c>
      <c r="B42" s="11" t="s">
        <v>17</v>
      </c>
      <c r="C42" s="11" t="s">
        <v>19</v>
      </c>
      <c r="D42" s="11" t="s">
        <v>35</v>
      </c>
      <c r="E42" s="11">
        <v>5277</v>
      </c>
      <c r="F42" s="12">
        <v>45152</v>
      </c>
      <c r="G42" s="13">
        <f t="shared" si="0"/>
        <v>422.16</v>
      </c>
      <c r="H42" s="13">
        <f t="shared" si="1"/>
        <v>4854.84</v>
      </c>
    </row>
    <row r="43" spans="1:8">
      <c r="A43" s="11">
        <v>2017</v>
      </c>
      <c r="B43" s="11" t="s">
        <v>29</v>
      </c>
      <c r="C43" s="11" t="s">
        <v>21</v>
      </c>
      <c r="D43" s="11" t="s">
        <v>36</v>
      </c>
      <c r="E43" s="11">
        <v>41871</v>
      </c>
      <c r="F43" s="12">
        <v>45167</v>
      </c>
      <c r="G43" s="13">
        <f t="shared" si="0"/>
        <v>3349.6800000000003</v>
      </c>
      <c r="H43" s="13">
        <f t="shared" si="1"/>
        <v>38521.32</v>
      </c>
    </row>
    <row r="44" spans="1:8">
      <c r="A44" s="11">
        <v>2018</v>
      </c>
      <c r="B44" s="11" t="s">
        <v>29</v>
      </c>
      <c r="C44" s="11" t="s">
        <v>15</v>
      </c>
      <c r="D44" s="11" t="s">
        <v>37</v>
      </c>
      <c r="E44" s="11">
        <v>38161</v>
      </c>
      <c r="F44" s="12">
        <v>45182</v>
      </c>
      <c r="G44" s="13">
        <f t="shared" si="0"/>
        <v>3052.88</v>
      </c>
      <c r="H44" s="13">
        <f t="shared" si="1"/>
        <v>35108.120000000003</v>
      </c>
    </row>
    <row r="45" spans="1:8">
      <c r="A45" s="11">
        <v>2019</v>
      </c>
      <c r="B45" s="11" t="s">
        <v>17</v>
      </c>
      <c r="C45" s="11" t="s">
        <v>15</v>
      </c>
      <c r="D45" s="11" t="s">
        <v>38</v>
      </c>
      <c r="E45" s="11">
        <v>30436</v>
      </c>
      <c r="F45" s="12">
        <v>45197</v>
      </c>
      <c r="G45" s="13">
        <f t="shared" si="0"/>
        <v>2434.88</v>
      </c>
      <c r="H45" s="13">
        <f t="shared" si="1"/>
        <v>28001.119999999999</v>
      </c>
    </row>
    <row r="46" spans="1:8">
      <c r="A46" s="11">
        <v>2020</v>
      </c>
      <c r="B46" s="11" t="s">
        <v>14</v>
      </c>
      <c r="C46" s="11" t="s">
        <v>15</v>
      </c>
      <c r="D46" s="11" t="s">
        <v>39</v>
      </c>
      <c r="E46" s="11">
        <v>33953</v>
      </c>
      <c r="F46" s="12">
        <v>45212</v>
      </c>
      <c r="G46" s="13">
        <f t="shared" si="0"/>
        <v>2716.2400000000002</v>
      </c>
      <c r="H46" s="13">
        <f t="shared" si="1"/>
        <v>31236.76</v>
      </c>
    </row>
    <row r="47" spans="1:8">
      <c r="A47" s="35" t="s">
        <v>4</v>
      </c>
      <c r="B47" s="36"/>
      <c r="C47" s="36"/>
      <c r="D47" s="36"/>
      <c r="E47" s="36"/>
      <c r="F47" s="36"/>
      <c r="G47" s="37"/>
    </row>
    <row r="48" spans="1:8">
      <c r="A48" s="41" t="s">
        <v>44</v>
      </c>
      <c r="B48" s="41"/>
      <c r="C48" s="41"/>
      <c r="D48" s="41"/>
      <c r="E48" s="41"/>
      <c r="F48" s="41"/>
      <c r="G48" s="42"/>
    </row>
    <row r="49" spans="1:8">
      <c r="A49" s="16" t="s">
        <v>45</v>
      </c>
      <c r="B49" s="16" t="s">
        <v>3</v>
      </c>
      <c r="C49" s="16" t="s">
        <v>46</v>
      </c>
      <c r="D49" s="16" t="s">
        <v>47</v>
      </c>
      <c r="E49" s="16" t="s">
        <v>48</v>
      </c>
      <c r="F49" s="17" t="s">
        <v>49</v>
      </c>
      <c r="G49" s="10" t="s">
        <v>70</v>
      </c>
      <c r="H49" s="10" t="s">
        <v>71</v>
      </c>
    </row>
    <row r="50" spans="1:8">
      <c r="A50" s="18">
        <v>1001</v>
      </c>
      <c r="B50" s="18" t="s">
        <v>50</v>
      </c>
      <c r="C50" s="18">
        <v>61</v>
      </c>
      <c r="D50" s="18">
        <v>48</v>
      </c>
      <c r="E50" s="18">
        <v>76</v>
      </c>
      <c r="F50" s="19">
        <v>43101</v>
      </c>
      <c r="G50" s="20">
        <f>C50+D50+E50</f>
        <v>185</v>
      </c>
      <c r="H50" s="20" t="str">
        <f>IF(G50&gt;=220,"A",IF(G50&gt;=200,"B",IF(G50&gt;=180,"C","FAIL")))</f>
        <v>C</v>
      </c>
    </row>
    <row r="51" spans="1:8">
      <c r="A51" s="18">
        <v>1002</v>
      </c>
      <c r="B51" s="18" t="s">
        <v>51</v>
      </c>
      <c r="C51" s="18">
        <v>78</v>
      </c>
      <c r="D51" s="18">
        <v>76</v>
      </c>
      <c r="E51" s="18">
        <v>70</v>
      </c>
      <c r="F51" s="19">
        <v>43281</v>
      </c>
      <c r="G51" s="20">
        <f t="shared" ref="G51:G69" si="2">C51+D51+E51</f>
        <v>224</v>
      </c>
      <c r="H51" s="20" t="str">
        <f t="shared" ref="H51:H69" si="3">IF(G51&gt;=220,"A",IF(G51&gt;=200,"B",IF(G51&gt;=180,"C","FAIL")))</f>
        <v>A</v>
      </c>
    </row>
    <row r="52" spans="1:8">
      <c r="A52" s="18">
        <v>1003</v>
      </c>
      <c r="B52" s="18" t="s">
        <v>52</v>
      </c>
      <c r="C52" s="18">
        <v>97</v>
      </c>
      <c r="D52" s="18">
        <v>60</v>
      </c>
      <c r="E52" s="18">
        <v>51</v>
      </c>
      <c r="F52" s="19">
        <v>43461</v>
      </c>
      <c r="G52" s="20">
        <f t="shared" si="2"/>
        <v>208</v>
      </c>
      <c r="H52" s="20" t="str">
        <f t="shared" si="3"/>
        <v>B</v>
      </c>
    </row>
    <row r="53" spans="1:8">
      <c r="A53" s="18">
        <v>1004</v>
      </c>
      <c r="B53" s="18" t="s">
        <v>53</v>
      </c>
      <c r="C53" s="18">
        <v>74</v>
      </c>
      <c r="D53" s="18">
        <v>55</v>
      </c>
      <c r="E53" s="18">
        <v>46</v>
      </c>
      <c r="F53" s="19">
        <v>43641</v>
      </c>
      <c r="G53" s="20">
        <f t="shared" si="2"/>
        <v>175</v>
      </c>
      <c r="H53" s="20" t="str">
        <f t="shared" si="3"/>
        <v>FAIL</v>
      </c>
    </row>
    <row r="54" spans="1:8">
      <c r="A54" s="18">
        <v>1005</v>
      </c>
      <c r="B54" s="18" t="s">
        <v>54</v>
      </c>
      <c r="C54" s="18">
        <v>68</v>
      </c>
      <c r="D54" s="18">
        <v>74</v>
      </c>
      <c r="E54" s="18">
        <v>84</v>
      </c>
      <c r="F54" s="19">
        <v>43821</v>
      </c>
      <c r="G54" s="20">
        <f t="shared" si="2"/>
        <v>226</v>
      </c>
      <c r="H54" s="20" t="str">
        <f t="shared" si="3"/>
        <v>A</v>
      </c>
    </row>
    <row r="55" spans="1:8">
      <c r="A55" s="18">
        <v>1006</v>
      </c>
      <c r="B55" s="18" t="s">
        <v>55</v>
      </c>
      <c r="C55" s="18">
        <v>80</v>
      </c>
      <c r="D55" s="18">
        <v>70</v>
      </c>
      <c r="E55" s="18">
        <v>65</v>
      </c>
      <c r="F55" s="19">
        <v>44001</v>
      </c>
      <c r="G55" s="20">
        <f t="shared" si="2"/>
        <v>215</v>
      </c>
      <c r="H55" s="20" t="str">
        <f t="shared" si="3"/>
        <v>B</v>
      </c>
    </row>
    <row r="56" spans="1:8">
      <c r="A56" s="18">
        <v>1007</v>
      </c>
      <c r="B56" s="18" t="s">
        <v>56</v>
      </c>
      <c r="C56" s="18">
        <v>75</v>
      </c>
      <c r="D56" s="18">
        <v>47</v>
      </c>
      <c r="E56" s="18">
        <v>78</v>
      </c>
      <c r="F56" s="19">
        <v>44181</v>
      </c>
      <c r="G56" s="20">
        <f t="shared" si="2"/>
        <v>200</v>
      </c>
      <c r="H56" s="20" t="str">
        <f t="shared" si="3"/>
        <v>B</v>
      </c>
    </row>
    <row r="57" spans="1:8">
      <c r="A57" s="18">
        <v>1008</v>
      </c>
      <c r="B57" s="18" t="s">
        <v>57</v>
      </c>
      <c r="C57" s="18">
        <v>94</v>
      </c>
      <c r="D57" s="18">
        <v>67</v>
      </c>
      <c r="E57" s="18">
        <v>64</v>
      </c>
      <c r="F57" s="19">
        <v>44361</v>
      </c>
      <c r="G57" s="20">
        <f t="shared" si="2"/>
        <v>225</v>
      </c>
      <c r="H57" s="20" t="str">
        <f t="shared" si="3"/>
        <v>A</v>
      </c>
    </row>
    <row r="58" spans="1:8">
      <c r="A58" s="18">
        <v>1009</v>
      </c>
      <c r="B58" s="18" t="s">
        <v>58</v>
      </c>
      <c r="C58" s="18">
        <v>41</v>
      </c>
      <c r="D58" s="18">
        <v>75</v>
      </c>
      <c r="E58" s="18">
        <v>56</v>
      </c>
      <c r="F58" s="19">
        <v>44541</v>
      </c>
      <c r="G58" s="20">
        <f t="shared" si="2"/>
        <v>172</v>
      </c>
      <c r="H58" s="20" t="str">
        <f t="shared" si="3"/>
        <v>FAIL</v>
      </c>
    </row>
    <row r="59" spans="1:8">
      <c r="A59" s="18">
        <v>1010</v>
      </c>
      <c r="B59" s="18" t="s">
        <v>59</v>
      </c>
      <c r="C59" s="18">
        <v>98</v>
      </c>
      <c r="D59" s="18">
        <v>54</v>
      </c>
      <c r="E59" s="18">
        <v>58</v>
      </c>
      <c r="F59" s="19">
        <v>44721</v>
      </c>
      <c r="G59" s="20">
        <f t="shared" si="2"/>
        <v>210</v>
      </c>
      <c r="H59" s="20" t="str">
        <f t="shared" si="3"/>
        <v>B</v>
      </c>
    </row>
    <row r="60" spans="1:8">
      <c r="A60" s="18">
        <v>1011</v>
      </c>
      <c r="B60" s="18" t="s">
        <v>60</v>
      </c>
      <c r="C60" s="18">
        <v>73</v>
      </c>
      <c r="D60" s="18">
        <v>79</v>
      </c>
      <c r="E60" s="18">
        <v>53</v>
      </c>
      <c r="F60" s="19">
        <v>44901</v>
      </c>
      <c r="G60" s="20">
        <f t="shared" si="2"/>
        <v>205</v>
      </c>
      <c r="H60" s="20" t="str">
        <f t="shared" si="3"/>
        <v>B</v>
      </c>
    </row>
    <row r="61" spans="1:8">
      <c r="A61" s="18">
        <v>1012</v>
      </c>
      <c r="B61" s="18" t="s">
        <v>61</v>
      </c>
      <c r="C61" s="18">
        <v>85</v>
      </c>
      <c r="D61" s="18">
        <v>89</v>
      </c>
      <c r="E61" s="18">
        <v>79</v>
      </c>
      <c r="F61" s="19">
        <v>45081</v>
      </c>
      <c r="G61" s="20">
        <f t="shared" si="2"/>
        <v>253</v>
      </c>
      <c r="H61" s="20" t="str">
        <f t="shared" si="3"/>
        <v>A</v>
      </c>
    </row>
    <row r="62" spans="1:8">
      <c r="A62" s="18">
        <v>1013</v>
      </c>
      <c r="B62" s="18" t="s">
        <v>62</v>
      </c>
      <c r="C62" s="18">
        <v>98</v>
      </c>
      <c r="D62" s="18">
        <v>90</v>
      </c>
      <c r="E62" s="18">
        <v>97</v>
      </c>
      <c r="F62" s="19">
        <v>45261</v>
      </c>
      <c r="G62" s="20">
        <f t="shared" si="2"/>
        <v>285</v>
      </c>
      <c r="H62" s="20" t="str">
        <f t="shared" si="3"/>
        <v>A</v>
      </c>
    </row>
    <row r="63" spans="1:8">
      <c r="A63" s="18">
        <v>1014</v>
      </c>
      <c r="B63" s="18" t="s">
        <v>63</v>
      </c>
      <c r="C63" s="18">
        <v>93</v>
      </c>
      <c r="D63" s="18">
        <v>40</v>
      </c>
      <c r="E63" s="18">
        <v>44</v>
      </c>
      <c r="F63" s="19">
        <v>45441</v>
      </c>
      <c r="G63" s="20">
        <f t="shared" si="2"/>
        <v>177</v>
      </c>
      <c r="H63" s="20" t="str">
        <f t="shared" si="3"/>
        <v>FAIL</v>
      </c>
    </row>
    <row r="64" spans="1:8">
      <c r="A64" s="18">
        <v>1015</v>
      </c>
      <c r="B64" s="18" t="s">
        <v>64</v>
      </c>
      <c r="C64" s="18">
        <v>70</v>
      </c>
      <c r="D64" s="18">
        <v>51</v>
      </c>
      <c r="E64" s="18">
        <v>75</v>
      </c>
      <c r="F64" s="19">
        <v>45621</v>
      </c>
      <c r="G64" s="20">
        <f t="shared" si="2"/>
        <v>196</v>
      </c>
      <c r="H64" s="20" t="str">
        <f t="shared" si="3"/>
        <v>C</v>
      </c>
    </row>
    <row r="65" spans="1:9">
      <c r="A65" s="18">
        <v>1016</v>
      </c>
      <c r="B65" s="18" t="s">
        <v>65</v>
      </c>
      <c r="C65" s="18">
        <v>98</v>
      </c>
      <c r="D65" s="18">
        <v>77</v>
      </c>
      <c r="E65" s="18">
        <v>60</v>
      </c>
      <c r="F65" s="19">
        <v>45801</v>
      </c>
      <c r="G65" s="20">
        <f t="shared" si="2"/>
        <v>235</v>
      </c>
      <c r="H65" s="20" t="str">
        <f t="shared" si="3"/>
        <v>A</v>
      </c>
    </row>
    <row r="66" spans="1:9">
      <c r="A66" s="18">
        <v>1017</v>
      </c>
      <c r="B66" s="18" t="s">
        <v>66</v>
      </c>
      <c r="C66" s="18">
        <v>66</v>
      </c>
      <c r="D66" s="18">
        <v>59</v>
      </c>
      <c r="E66" s="18">
        <v>40</v>
      </c>
      <c r="F66" s="19">
        <v>45981</v>
      </c>
      <c r="G66" s="20">
        <f t="shared" si="2"/>
        <v>165</v>
      </c>
      <c r="H66" s="20" t="str">
        <f t="shared" si="3"/>
        <v>FAIL</v>
      </c>
    </row>
    <row r="67" spans="1:9">
      <c r="A67" s="18">
        <v>1018</v>
      </c>
      <c r="B67" s="18" t="s">
        <v>67</v>
      </c>
      <c r="C67" s="18">
        <v>82</v>
      </c>
      <c r="D67" s="18">
        <v>48</v>
      </c>
      <c r="E67" s="18">
        <v>79</v>
      </c>
      <c r="F67" s="19">
        <v>46161</v>
      </c>
      <c r="G67" s="20">
        <f t="shared" si="2"/>
        <v>209</v>
      </c>
      <c r="H67" s="20" t="str">
        <f t="shared" si="3"/>
        <v>B</v>
      </c>
    </row>
    <row r="68" spans="1:9">
      <c r="A68" s="21">
        <v>1019</v>
      </c>
      <c r="B68" s="21" t="s">
        <v>68</v>
      </c>
      <c r="C68" s="21">
        <v>90</v>
      </c>
      <c r="D68" s="21">
        <v>78</v>
      </c>
      <c r="E68" s="21">
        <v>60</v>
      </c>
      <c r="F68" s="22">
        <v>46341</v>
      </c>
      <c r="G68" s="23">
        <f t="shared" si="2"/>
        <v>228</v>
      </c>
      <c r="H68" s="20" t="str">
        <f t="shared" si="3"/>
        <v>A</v>
      </c>
    </row>
    <row r="69" spans="1:9">
      <c r="A69" s="11">
        <v>1020</v>
      </c>
      <c r="B69" s="11" t="s">
        <v>69</v>
      </c>
      <c r="C69" s="11">
        <v>83</v>
      </c>
      <c r="D69" s="11">
        <v>92</v>
      </c>
      <c r="E69" s="11">
        <v>55</v>
      </c>
      <c r="F69" s="12">
        <v>46521</v>
      </c>
      <c r="G69" s="20">
        <f t="shared" si="2"/>
        <v>230</v>
      </c>
      <c r="H69" s="20" t="str">
        <f t="shared" si="3"/>
        <v>A</v>
      </c>
    </row>
    <row r="70" spans="1:9">
      <c r="A70" s="41" t="s">
        <v>75</v>
      </c>
      <c r="B70" s="41"/>
      <c r="C70" s="41"/>
      <c r="D70" s="41"/>
      <c r="E70" s="41"/>
      <c r="F70" s="41"/>
      <c r="G70" s="42"/>
    </row>
    <row r="71" spans="1:9">
      <c r="A71" s="16" t="s">
        <v>5</v>
      </c>
      <c r="B71" s="16" t="s">
        <v>6</v>
      </c>
      <c r="C71" s="16" t="s">
        <v>7</v>
      </c>
      <c r="D71" s="16" t="s">
        <v>8</v>
      </c>
      <c r="E71" s="16" t="s">
        <v>9</v>
      </c>
      <c r="F71" s="16" t="s">
        <v>10</v>
      </c>
      <c r="G71" s="25" t="s">
        <v>43</v>
      </c>
      <c r="H71" s="25" t="s">
        <v>76</v>
      </c>
      <c r="I71" s="25" t="s">
        <v>42</v>
      </c>
    </row>
    <row r="72" spans="1:9">
      <c r="A72" s="18">
        <v>2001</v>
      </c>
      <c r="B72" s="18" t="s">
        <v>11</v>
      </c>
      <c r="C72" s="18" t="s">
        <v>12</v>
      </c>
      <c r="D72" s="18" t="s">
        <v>13</v>
      </c>
      <c r="E72" s="18">
        <v>7048</v>
      </c>
      <c r="F72" s="19">
        <v>44927</v>
      </c>
      <c r="G72" s="26">
        <f>IF(E72&gt;=40000,12%,IF(E72&gt;=30000,10%,IF(E72&gt;=25000,5%,2%)))</f>
        <v>0.02</v>
      </c>
      <c r="H72" s="20">
        <f>E72*G72</f>
        <v>140.96</v>
      </c>
      <c r="I72" s="20">
        <f>E72-H72</f>
        <v>6907.04</v>
      </c>
    </row>
    <row r="73" spans="1:9">
      <c r="A73" s="18">
        <v>2002</v>
      </c>
      <c r="B73" s="18" t="s">
        <v>14</v>
      </c>
      <c r="C73" s="18" t="s">
        <v>15</v>
      </c>
      <c r="D73" s="18" t="s">
        <v>16</v>
      </c>
      <c r="E73" s="18">
        <v>17428</v>
      </c>
      <c r="F73" s="19">
        <v>44942</v>
      </c>
      <c r="G73" s="26">
        <f t="shared" ref="G73:G91" si="4">IF(E73&gt;=40000,12%,IF(E73&gt;=30000,10%,IF(E73&gt;=25000,5%,2%)))</f>
        <v>0.02</v>
      </c>
      <c r="H73" s="20">
        <f t="shared" ref="H73:H91" si="5">E73*G73</f>
        <v>348.56</v>
      </c>
      <c r="I73" s="20">
        <f t="shared" ref="I73:I91" si="6">E73-H73</f>
        <v>17079.439999999999</v>
      </c>
    </row>
    <row r="74" spans="1:9">
      <c r="A74" s="18">
        <v>2003</v>
      </c>
      <c r="B74" s="18" t="s">
        <v>17</v>
      </c>
      <c r="C74" s="18" t="s">
        <v>12</v>
      </c>
      <c r="D74" s="18" t="s">
        <v>18</v>
      </c>
      <c r="E74" s="18">
        <v>23672</v>
      </c>
      <c r="F74" s="19">
        <v>44957</v>
      </c>
      <c r="G74" s="26">
        <f t="shared" si="4"/>
        <v>0.02</v>
      </c>
      <c r="H74" s="20">
        <f t="shared" si="5"/>
        <v>473.44</v>
      </c>
      <c r="I74" s="20">
        <f t="shared" si="6"/>
        <v>23198.560000000001</v>
      </c>
    </row>
    <row r="75" spans="1:9">
      <c r="A75" s="18">
        <v>2004</v>
      </c>
      <c r="B75" s="18" t="s">
        <v>14</v>
      </c>
      <c r="C75" s="18" t="s">
        <v>19</v>
      </c>
      <c r="D75" s="18" t="s">
        <v>20</v>
      </c>
      <c r="E75" s="18">
        <v>5264</v>
      </c>
      <c r="F75" s="19">
        <v>44972</v>
      </c>
      <c r="G75" s="26">
        <f t="shared" si="4"/>
        <v>0.02</v>
      </c>
      <c r="H75" s="20">
        <f t="shared" si="5"/>
        <v>105.28</v>
      </c>
      <c r="I75" s="20">
        <f t="shared" si="6"/>
        <v>5158.72</v>
      </c>
    </row>
    <row r="76" spans="1:9">
      <c r="A76" s="18">
        <v>2005</v>
      </c>
      <c r="B76" s="18" t="s">
        <v>11</v>
      </c>
      <c r="C76" s="18" t="s">
        <v>21</v>
      </c>
      <c r="D76" s="18" t="s">
        <v>22</v>
      </c>
      <c r="E76" s="18">
        <v>43388</v>
      </c>
      <c r="F76" s="19">
        <v>44987</v>
      </c>
      <c r="G76" s="26">
        <f t="shared" si="4"/>
        <v>0.12</v>
      </c>
      <c r="H76" s="20">
        <f t="shared" si="5"/>
        <v>5206.5599999999995</v>
      </c>
      <c r="I76" s="20">
        <f t="shared" si="6"/>
        <v>38181.440000000002</v>
      </c>
    </row>
    <row r="77" spans="1:9">
      <c r="A77" s="18">
        <v>2006</v>
      </c>
      <c r="B77" s="18" t="s">
        <v>17</v>
      </c>
      <c r="C77" s="18" t="s">
        <v>21</v>
      </c>
      <c r="D77" s="18" t="s">
        <v>23</v>
      </c>
      <c r="E77" s="18">
        <v>19757</v>
      </c>
      <c r="F77" s="19">
        <v>45002</v>
      </c>
      <c r="G77" s="26">
        <f t="shared" si="4"/>
        <v>0.02</v>
      </c>
      <c r="H77" s="20">
        <f t="shared" si="5"/>
        <v>395.14</v>
      </c>
      <c r="I77" s="20">
        <f t="shared" si="6"/>
        <v>19361.86</v>
      </c>
    </row>
    <row r="78" spans="1:9">
      <c r="A78" s="18">
        <v>2007</v>
      </c>
      <c r="B78" s="18" t="s">
        <v>17</v>
      </c>
      <c r="C78" s="18" t="s">
        <v>19</v>
      </c>
      <c r="D78" s="18" t="s">
        <v>24</v>
      </c>
      <c r="E78" s="18">
        <v>32058</v>
      </c>
      <c r="F78" s="19">
        <v>45017</v>
      </c>
      <c r="G78" s="26">
        <f t="shared" si="4"/>
        <v>0.1</v>
      </c>
      <c r="H78" s="20">
        <f t="shared" si="5"/>
        <v>3205.8</v>
      </c>
      <c r="I78" s="20">
        <f t="shared" si="6"/>
        <v>28852.2</v>
      </c>
    </row>
    <row r="79" spans="1:9">
      <c r="A79" s="18">
        <v>2008</v>
      </c>
      <c r="B79" s="18" t="s">
        <v>11</v>
      </c>
      <c r="C79" s="18" t="s">
        <v>19</v>
      </c>
      <c r="D79" s="18" t="s">
        <v>25</v>
      </c>
      <c r="E79" s="18">
        <v>46429</v>
      </c>
      <c r="F79" s="19">
        <v>45032</v>
      </c>
      <c r="G79" s="26">
        <f t="shared" si="4"/>
        <v>0.12</v>
      </c>
      <c r="H79" s="20">
        <f t="shared" si="5"/>
        <v>5571.48</v>
      </c>
      <c r="I79" s="20">
        <f t="shared" si="6"/>
        <v>40857.520000000004</v>
      </c>
    </row>
    <row r="80" spans="1:9">
      <c r="A80" s="18">
        <v>2009</v>
      </c>
      <c r="B80" s="18" t="s">
        <v>14</v>
      </c>
      <c r="C80" s="18" t="s">
        <v>19</v>
      </c>
      <c r="D80" s="18" t="s">
        <v>26</v>
      </c>
      <c r="E80" s="18">
        <v>19746</v>
      </c>
      <c r="F80" s="19">
        <v>45047</v>
      </c>
      <c r="G80" s="26">
        <f t="shared" si="4"/>
        <v>0.02</v>
      </c>
      <c r="H80" s="20">
        <f t="shared" si="5"/>
        <v>394.92</v>
      </c>
      <c r="I80" s="20">
        <f t="shared" si="6"/>
        <v>19351.080000000002</v>
      </c>
    </row>
    <row r="81" spans="1:9">
      <c r="A81" s="18">
        <v>2010</v>
      </c>
      <c r="B81" s="18" t="s">
        <v>11</v>
      </c>
      <c r="C81" s="18" t="s">
        <v>12</v>
      </c>
      <c r="D81" s="18" t="s">
        <v>27</v>
      </c>
      <c r="E81" s="18">
        <v>35185</v>
      </c>
      <c r="F81" s="19">
        <v>45062</v>
      </c>
      <c r="G81" s="26">
        <f t="shared" si="4"/>
        <v>0.1</v>
      </c>
      <c r="H81" s="20">
        <f t="shared" si="5"/>
        <v>3518.5</v>
      </c>
      <c r="I81" s="20">
        <f t="shared" si="6"/>
        <v>31666.5</v>
      </c>
    </row>
    <row r="82" spans="1:9">
      <c r="A82" s="18">
        <v>2011</v>
      </c>
      <c r="B82" s="18" t="s">
        <v>11</v>
      </c>
      <c r="C82" s="18" t="s">
        <v>19</v>
      </c>
      <c r="D82" s="18" t="s">
        <v>28</v>
      </c>
      <c r="E82" s="18">
        <v>33920</v>
      </c>
      <c r="F82" s="19">
        <v>45077</v>
      </c>
      <c r="G82" s="26">
        <f t="shared" si="4"/>
        <v>0.1</v>
      </c>
      <c r="H82" s="20">
        <f t="shared" si="5"/>
        <v>3392</v>
      </c>
      <c r="I82" s="20">
        <f t="shared" si="6"/>
        <v>30528</v>
      </c>
    </row>
    <row r="83" spans="1:9">
      <c r="A83" s="18">
        <v>2012</v>
      </c>
      <c r="B83" s="18" t="s">
        <v>29</v>
      </c>
      <c r="C83" s="18" t="s">
        <v>21</v>
      </c>
      <c r="D83" s="18" t="s">
        <v>30</v>
      </c>
      <c r="E83" s="18">
        <v>35611</v>
      </c>
      <c r="F83" s="19">
        <v>45092</v>
      </c>
      <c r="G83" s="26">
        <f t="shared" si="4"/>
        <v>0.1</v>
      </c>
      <c r="H83" s="20">
        <f t="shared" si="5"/>
        <v>3561.1000000000004</v>
      </c>
      <c r="I83" s="20">
        <f t="shared" si="6"/>
        <v>32049.9</v>
      </c>
    </row>
    <row r="84" spans="1:9">
      <c r="A84" s="18">
        <v>2013</v>
      </c>
      <c r="B84" s="18" t="s">
        <v>31</v>
      </c>
      <c r="C84" s="18" t="s">
        <v>19</v>
      </c>
      <c r="D84" s="18" t="s">
        <v>32</v>
      </c>
      <c r="E84" s="18">
        <v>15560</v>
      </c>
      <c r="F84" s="19">
        <v>45107</v>
      </c>
      <c r="G84" s="26">
        <f t="shared" si="4"/>
        <v>0.02</v>
      </c>
      <c r="H84" s="20">
        <f t="shared" si="5"/>
        <v>311.2</v>
      </c>
      <c r="I84" s="20">
        <f t="shared" si="6"/>
        <v>15248.8</v>
      </c>
    </row>
    <row r="85" spans="1:9">
      <c r="A85" s="18">
        <v>2014</v>
      </c>
      <c r="B85" s="18" t="s">
        <v>31</v>
      </c>
      <c r="C85" s="18" t="s">
        <v>12</v>
      </c>
      <c r="D85" s="18" t="s">
        <v>33</v>
      </c>
      <c r="E85" s="18">
        <v>7283</v>
      </c>
      <c r="F85" s="19">
        <v>45122</v>
      </c>
      <c r="G85" s="26">
        <f t="shared" si="4"/>
        <v>0.02</v>
      </c>
      <c r="H85" s="20">
        <f t="shared" si="5"/>
        <v>145.66</v>
      </c>
      <c r="I85" s="20">
        <f t="shared" si="6"/>
        <v>7137.34</v>
      </c>
    </row>
    <row r="86" spans="1:9">
      <c r="A86" s="18">
        <v>2015</v>
      </c>
      <c r="B86" s="18" t="s">
        <v>31</v>
      </c>
      <c r="C86" s="18" t="s">
        <v>19</v>
      </c>
      <c r="D86" s="18" t="s">
        <v>34</v>
      </c>
      <c r="E86" s="18">
        <v>15678</v>
      </c>
      <c r="F86" s="19">
        <v>45137</v>
      </c>
      <c r="G86" s="26">
        <f t="shared" si="4"/>
        <v>0.02</v>
      </c>
      <c r="H86" s="20">
        <f t="shared" si="5"/>
        <v>313.56</v>
      </c>
      <c r="I86" s="20">
        <f t="shared" si="6"/>
        <v>15364.44</v>
      </c>
    </row>
    <row r="87" spans="1:9">
      <c r="A87" s="18">
        <v>2016</v>
      </c>
      <c r="B87" s="18" t="s">
        <v>17</v>
      </c>
      <c r="C87" s="18" t="s">
        <v>19</v>
      </c>
      <c r="D87" s="18" t="s">
        <v>35</v>
      </c>
      <c r="E87" s="18">
        <v>5277</v>
      </c>
      <c r="F87" s="19">
        <v>45152</v>
      </c>
      <c r="G87" s="26">
        <f t="shared" si="4"/>
        <v>0.02</v>
      </c>
      <c r="H87" s="20">
        <f t="shared" si="5"/>
        <v>105.54</v>
      </c>
      <c r="I87" s="20">
        <f t="shared" si="6"/>
        <v>5171.46</v>
      </c>
    </row>
    <row r="88" spans="1:9">
      <c r="A88" s="18">
        <v>2017</v>
      </c>
      <c r="B88" s="18" t="s">
        <v>29</v>
      </c>
      <c r="C88" s="18" t="s">
        <v>21</v>
      </c>
      <c r="D88" s="18" t="s">
        <v>36</v>
      </c>
      <c r="E88" s="18">
        <v>41871</v>
      </c>
      <c r="F88" s="19">
        <v>45167</v>
      </c>
      <c r="G88" s="26">
        <f t="shared" si="4"/>
        <v>0.12</v>
      </c>
      <c r="H88" s="20">
        <f t="shared" si="5"/>
        <v>5024.5199999999995</v>
      </c>
      <c r="I88" s="20">
        <f t="shared" si="6"/>
        <v>36846.480000000003</v>
      </c>
    </row>
    <row r="89" spans="1:9">
      <c r="A89" s="18">
        <v>2018</v>
      </c>
      <c r="B89" s="18" t="s">
        <v>29</v>
      </c>
      <c r="C89" s="18" t="s">
        <v>15</v>
      </c>
      <c r="D89" s="18" t="s">
        <v>37</v>
      </c>
      <c r="E89" s="18">
        <v>38161</v>
      </c>
      <c r="F89" s="19">
        <v>45182</v>
      </c>
      <c r="G89" s="26">
        <f t="shared" si="4"/>
        <v>0.1</v>
      </c>
      <c r="H89" s="20">
        <f t="shared" si="5"/>
        <v>3816.1000000000004</v>
      </c>
      <c r="I89" s="20">
        <f t="shared" si="6"/>
        <v>34344.9</v>
      </c>
    </row>
    <row r="90" spans="1:9">
      <c r="A90" s="18">
        <v>2019</v>
      </c>
      <c r="B90" s="18" t="s">
        <v>17</v>
      </c>
      <c r="C90" s="18" t="s">
        <v>15</v>
      </c>
      <c r="D90" s="18" t="s">
        <v>38</v>
      </c>
      <c r="E90" s="18">
        <v>30436</v>
      </c>
      <c r="F90" s="19">
        <v>45197</v>
      </c>
      <c r="G90" s="26">
        <f t="shared" si="4"/>
        <v>0.1</v>
      </c>
      <c r="H90" s="20">
        <f t="shared" si="5"/>
        <v>3043.6000000000004</v>
      </c>
      <c r="I90" s="20">
        <f t="shared" si="6"/>
        <v>27392.400000000001</v>
      </c>
    </row>
    <row r="91" spans="1:9">
      <c r="A91" s="18">
        <v>2020</v>
      </c>
      <c r="B91" s="18" t="s">
        <v>14</v>
      </c>
      <c r="C91" s="18" t="s">
        <v>15</v>
      </c>
      <c r="D91" s="18" t="s">
        <v>39</v>
      </c>
      <c r="E91" s="18">
        <v>33953</v>
      </c>
      <c r="F91" s="19">
        <v>45212</v>
      </c>
      <c r="G91" s="26">
        <f t="shared" si="4"/>
        <v>0.1</v>
      </c>
      <c r="H91" s="20">
        <f t="shared" si="5"/>
        <v>3395.3</v>
      </c>
      <c r="I91" s="20">
        <f t="shared" si="6"/>
        <v>30557.7</v>
      </c>
    </row>
    <row r="93" spans="1:9">
      <c r="A93" s="35" t="s">
        <v>72</v>
      </c>
      <c r="B93" s="36"/>
      <c r="C93" s="36"/>
      <c r="D93" s="36"/>
      <c r="E93" s="36"/>
      <c r="F93" s="36"/>
      <c r="G93" s="37"/>
    </row>
    <row r="94" spans="1:9">
      <c r="A94" s="43" t="s">
        <v>73</v>
      </c>
      <c r="B94" s="44"/>
      <c r="C94" s="44"/>
      <c r="D94" s="44"/>
      <c r="E94" s="44"/>
      <c r="F94" s="44"/>
      <c r="G94" s="45"/>
    </row>
    <row r="95" spans="1:9">
      <c r="A95" s="9" t="s">
        <v>45</v>
      </c>
      <c r="B95" s="9" t="s">
        <v>3</v>
      </c>
      <c r="C95" s="9" t="s">
        <v>46</v>
      </c>
      <c r="D95" s="9" t="s">
        <v>47</v>
      </c>
      <c r="E95" s="9" t="s">
        <v>48</v>
      </c>
      <c r="F95" s="9" t="s">
        <v>49</v>
      </c>
      <c r="G95" s="28" t="s">
        <v>88</v>
      </c>
    </row>
    <row r="96" spans="1:9">
      <c r="A96" s="11">
        <v>1001</v>
      </c>
      <c r="B96" s="11" t="s">
        <v>50</v>
      </c>
      <c r="C96" s="11">
        <v>61</v>
      </c>
      <c r="D96" s="11">
        <v>48</v>
      </c>
      <c r="E96" s="11">
        <v>76</v>
      </c>
      <c r="F96" s="12">
        <v>43101</v>
      </c>
      <c r="G96" s="13" t="str">
        <f>IF(AND(C96&gt;80,D96&gt;80),"Yes","No")</f>
        <v>No</v>
      </c>
    </row>
    <row r="97" spans="1:7">
      <c r="A97" s="11">
        <v>1002</v>
      </c>
      <c r="B97" s="11" t="s">
        <v>51</v>
      </c>
      <c r="C97" s="11">
        <v>78</v>
      </c>
      <c r="D97" s="11">
        <v>76</v>
      </c>
      <c r="E97" s="11">
        <v>70</v>
      </c>
      <c r="F97" s="12">
        <v>43281</v>
      </c>
      <c r="G97" s="13" t="str">
        <f t="shared" ref="G97:G115" si="7">IF(AND(C97&gt;80,D97&gt;80),"Yes","No")</f>
        <v>No</v>
      </c>
    </row>
    <row r="98" spans="1:7">
      <c r="A98" s="11">
        <v>1003</v>
      </c>
      <c r="B98" s="11" t="s">
        <v>52</v>
      </c>
      <c r="C98" s="11">
        <v>97</v>
      </c>
      <c r="D98" s="11">
        <v>60</v>
      </c>
      <c r="E98" s="11">
        <v>51</v>
      </c>
      <c r="F98" s="12">
        <v>43461</v>
      </c>
      <c r="G98" s="13" t="str">
        <f t="shared" si="7"/>
        <v>No</v>
      </c>
    </row>
    <row r="99" spans="1:7">
      <c r="A99" s="11">
        <v>1004</v>
      </c>
      <c r="B99" s="11" t="s">
        <v>53</v>
      </c>
      <c r="C99" s="11">
        <v>74</v>
      </c>
      <c r="D99" s="11">
        <v>55</v>
      </c>
      <c r="E99" s="11">
        <v>46</v>
      </c>
      <c r="F99" s="12">
        <v>43641</v>
      </c>
      <c r="G99" s="13" t="str">
        <f t="shared" si="7"/>
        <v>No</v>
      </c>
    </row>
    <row r="100" spans="1:7">
      <c r="A100" s="11">
        <v>1005</v>
      </c>
      <c r="B100" s="11" t="s">
        <v>54</v>
      </c>
      <c r="C100" s="11">
        <v>68</v>
      </c>
      <c r="D100" s="11">
        <v>74</v>
      </c>
      <c r="E100" s="11">
        <v>84</v>
      </c>
      <c r="F100" s="12">
        <v>43821</v>
      </c>
      <c r="G100" s="13" t="str">
        <f t="shared" si="7"/>
        <v>No</v>
      </c>
    </row>
    <row r="101" spans="1:7">
      <c r="A101" s="11">
        <v>1006</v>
      </c>
      <c r="B101" s="11" t="s">
        <v>55</v>
      </c>
      <c r="C101" s="11">
        <v>80</v>
      </c>
      <c r="D101" s="11">
        <v>70</v>
      </c>
      <c r="E101" s="11">
        <v>65</v>
      </c>
      <c r="F101" s="12">
        <v>44001</v>
      </c>
      <c r="G101" s="13" t="str">
        <f t="shared" si="7"/>
        <v>No</v>
      </c>
    </row>
    <row r="102" spans="1:7">
      <c r="A102" s="11">
        <v>1007</v>
      </c>
      <c r="B102" s="11" t="s">
        <v>56</v>
      </c>
      <c r="C102" s="11">
        <v>75</v>
      </c>
      <c r="D102" s="11">
        <v>47</v>
      </c>
      <c r="E102" s="11">
        <v>78</v>
      </c>
      <c r="F102" s="12">
        <v>44181</v>
      </c>
      <c r="G102" s="13" t="str">
        <f t="shared" si="7"/>
        <v>No</v>
      </c>
    </row>
    <row r="103" spans="1:7">
      <c r="A103" s="11">
        <v>1008</v>
      </c>
      <c r="B103" s="11" t="s">
        <v>57</v>
      </c>
      <c r="C103" s="11">
        <v>94</v>
      </c>
      <c r="D103" s="11">
        <v>67</v>
      </c>
      <c r="E103" s="11">
        <v>64</v>
      </c>
      <c r="F103" s="12">
        <v>44361</v>
      </c>
      <c r="G103" s="13" t="str">
        <f t="shared" si="7"/>
        <v>No</v>
      </c>
    </row>
    <row r="104" spans="1:7">
      <c r="A104" s="11">
        <v>1009</v>
      </c>
      <c r="B104" s="11" t="s">
        <v>58</v>
      </c>
      <c r="C104" s="11">
        <v>41</v>
      </c>
      <c r="D104" s="11">
        <v>75</v>
      </c>
      <c r="E104" s="11">
        <v>56</v>
      </c>
      <c r="F104" s="12">
        <v>44541</v>
      </c>
      <c r="G104" s="13" t="str">
        <f t="shared" si="7"/>
        <v>No</v>
      </c>
    </row>
    <row r="105" spans="1:7">
      <c r="A105" s="11">
        <v>1010</v>
      </c>
      <c r="B105" s="11" t="s">
        <v>59</v>
      </c>
      <c r="C105" s="11">
        <v>98</v>
      </c>
      <c r="D105" s="11">
        <v>54</v>
      </c>
      <c r="E105" s="11">
        <v>58</v>
      </c>
      <c r="F105" s="12">
        <v>44721</v>
      </c>
      <c r="G105" s="13" t="str">
        <f t="shared" si="7"/>
        <v>No</v>
      </c>
    </row>
    <row r="106" spans="1:7">
      <c r="A106" s="11">
        <v>1011</v>
      </c>
      <c r="B106" s="11" t="s">
        <v>60</v>
      </c>
      <c r="C106" s="11">
        <v>73</v>
      </c>
      <c r="D106" s="11">
        <v>79</v>
      </c>
      <c r="E106" s="11">
        <v>53</v>
      </c>
      <c r="F106" s="12">
        <v>44901</v>
      </c>
      <c r="G106" s="13" t="str">
        <f t="shared" si="7"/>
        <v>No</v>
      </c>
    </row>
    <row r="107" spans="1:7">
      <c r="A107" s="11">
        <v>1012</v>
      </c>
      <c r="B107" s="11" t="s">
        <v>61</v>
      </c>
      <c r="C107" s="11">
        <v>85</v>
      </c>
      <c r="D107" s="11">
        <v>89</v>
      </c>
      <c r="E107" s="11">
        <v>79</v>
      </c>
      <c r="F107" s="12">
        <v>45081</v>
      </c>
      <c r="G107" s="13" t="str">
        <f t="shared" si="7"/>
        <v>Yes</v>
      </c>
    </row>
    <row r="108" spans="1:7">
      <c r="A108" s="11">
        <v>1013</v>
      </c>
      <c r="B108" s="11" t="s">
        <v>62</v>
      </c>
      <c r="C108" s="11">
        <v>98</v>
      </c>
      <c r="D108" s="11">
        <v>90</v>
      </c>
      <c r="E108" s="11">
        <v>97</v>
      </c>
      <c r="F108" s="12">
        <v>45261</v>
      </c>
      <c r="G108" s="13" t="str">
        <f t="shared" si="7"/>
        <v>Yes</v>
      </c>
    </row>
    <row r="109" spans="1:7">
      <c r="A109" s="11">
        <v>1014</v>
      </c>
      <c r="B109" s="11" t="s">
        <v>63</v>
      </c>
      <c r="C109" s="11">
        <v>93</v>
      </c>
      <c r="D109" s="11">
        <v>40</v>
      </c>
      <c r="E109" s="11">
        <v>44</v>
      </c>
      <c r="F109" s="12">
        <v>45441</v>
      </c>
      <c r="G109" s="13" t="str">
        <f t="shared" si="7"/>
        <v>No</v>
      </c>
    </row>
    <row r="110" spans="1:7">
      <c r="A110" s="11">
        <v>1015</v>
      </c>
      <c r="B110" s="11" t="s">
        <v>64</v>
      </c>
      <c r="C110" s="11">
        <v>70</v>
      </c>
      <c r="D110" s="11">
        <v>51</v>
      </c>
      <c r="E110" s="11">
        <v>75</v>
      </c>
      <c r="F110" s="12">
        <v>45621</v>
      </c>
      <c r="G110" s="13" t="str">
        <f t="shared" si="7"/>
        <v>No</v>
      </c>
    </row>
    <row r="111" spans="1:7">
      <c r="A111" s="11">
        <v>1016</v>
      </c>
      <c r="B111" s="11" t="s">
        <v>65</v>
      </c>
      <c r="C111" s="11">
        <v>98</v>
      </c>
      <c r="D111" s="11">
        <v>77</v>
      </c>
      <c r="E111" s="11">
        <v>60</v>
      </c>
      <c r="F111" s="12">
        <v>45801</v>
      </c>
      <c r="G111" s="13" t="str">
        <f t="shared" si="7"/>
        <v>No</v>
      </c>
    </row>
    <row r="112" spans="1:7">
      <c r="A112" s="11">
        <v>1017</v>
      </c>
      <c r="B112" s="11" t="s">
        <v>66</v>
      </c>
      <c r="C112" s="11">
        <v>66</v>
      </c>
      <c r="D112" s="11">
        <v>59</v>
      </c>
      <c r="E112" s="11">
        <v>40</v>
      </c>
      <c r="F112" s="12">
        <v>45981</v>
      </c>
      <c r="G112" s="13" t="str">
        <f t="shared" si="7"/>
        <v>No</v>
      </c>
    </row>
    <row r="113" spans="1:7">
      <c r="A113" s="11">
        <v>1018</v>
      </c>
      <c r="B113" s="11" t="s">
        <v>67</v>
      </c>
      <c r="C113" s="11">
        <v>82</v>
      </c>
      <c r="D113" s="11">
        <v>48</v>
      </c>
      <c r="E113" s="11">
        <v>79</v>
      </c>
      <c r="F113" s="12">
        <v>46161</v>
      </c>
      <c r="G113" s="13" t="str">
        <f t="shared" si="7"/>
        <v>No</v>
      </c>
    </row>
    <row r="114" spans="1:7">
      <c r="A114" s="11">
        <v>1019</v>
      </c>
      <c r="B114" s="11" t="s">
        <v>68</v>
      </c>
      <c r="C114" s="11">
        <v>90</v>
      </c>
      <c r="D114" s="11">
        <v>78</v>
      </c>
      <c r="E114" s="11">
        <v>60</v>
      </c>
      <c r="F114" s="12">
        <v>46341</v>
      </c>
      <c r="G114" s="13" t="str">
        <f t="shared" si="7"/>
        <v>No</v>
      </c>
    </row>
    <row r="115" spans="1:7">
      <c r="A115" s="11">
        <v>1020</v>
      </c>
      <c r="B115" s="11" t="s">
        <v>69</v>
      </c>
      <c r="C115" s="11">
        <v>83</v>
      </c>
      <c r="D115" s="11">
        <v>92</v>
      </c>
      <c r="E115" s="11">
        <v>55</v>
      </c>
      <c r="F115" s="12">
        <v>46521</v>
      </c>
      <c r="G115" s="13" t="str">
        <f t="shared" si="7"/>
        <v>Yes</v>
      </c>
    </row>
    <row r="116" spans="1:7">
      <c r="A116" s="41" t="s">
        <v>74</v>
      </c>
      <c r="B116" s="41"/>
      <c r="C116" s="41"/>
      <c r="D116" s="41"/>
      <c r="E116" s="41"/>
      <c r="F116" s="41"/>
      <c r="G116" s="41"/>
    </row>
    <row r="117" spans="1:7">
      <c r="A117" s="16" t="s">
        <v>5</v>
      </c>
      <c r="B117" s="16" t="s">
        <v>6</v>
      </c>
      <c r="C117" s="16" t="s">
        <v>7</v>
      </c>
      <c r="D117" s="16" t="s">
        <v>8</v>
      </c>
      <c r="E117" s="16" t="s">
        <v>9</v>
      </c>
      <c r="F117" s="16" t="s">
        <v>10</v>
      </c>
      <c r="G117" s="16" t="s">
        <v>77</v>
      </c>
    </row>
    <row r="118" spans="1:7">
      <c r="A118" s="18">
        <v>2001</v>
      </c>
      <c r="B118" s="18" t="s">
        <v>11</v>
      </c>
      <c r="C118" s="18" t="s">
        <v>12</v>
      </c>
      <c r="D118" s="18" t="s">
        <v>13</v>
      </c>
      <c r="E118" s="18">
        <v>7048</v>
      </c>
      <c r="F118" s="24">
        <v>44927</v>
      </c>
      <c r="G118" s="24" t="str">
        <f>IF(OR(E118&gt;30000,C118="East"),"Discount Eligible","No Discount")</f>
        <v>No Discount</v>
      </c>
    </row>
    <row r="119" spans="1:7">
      <c r="A119" s="18">
        <v>2002</v>
      </c>
      <c r="B119" s="18" t="s">
        <v>14</v>
      </c>
      <c r="C119" s="18" t="s">
        <v>15</v>
      </c>
      <c r="D119" s="18" t="s">
        <v>16</v>
      </c>
      <c r="E119" s="18">
        <v>17428</v>
      </c>
      <c r="F119" s="24">
        <v>44942</v>
      </c>
      <c r="G119" s="24" t="str">
        <f t="shared" ref="G119:G137" si="8">IF(OR(E119&gt;30000,C119="East"),"Discount Eligible","No Discount")</f>
        <v>No Discount</v>
      </c>
    </row>
    <row r="120" spans="1:7">
      <c r="A120" s="18">
        <v>2003</v>
      </c>
      <c r="B120" s="18" t="s">
        <v>17</v>
      </c>
      <c r="C120" s="18" t="s">
        <v>12</v>
      </c>
      <c r="D120" s="18" t="s">
        <v>18</v>
      </c>
      <c r="E120" s="18">
        <v>23672</v>
      </c>
      <c r="F120" s="24">
        <v>44957</v>
      </c>
      <c r="G120" s="24" t="str">
        <f t="shared" si="8"/>
        <v>No Discount</v>
      </c>
    </row>
    <row r="121" spans="1:7">
      <c r="A121" s="18">
        <v>2004</v>
      </c>
      <c r="B121" s="18" t="s">
        <v>14</v>
      </c>
      <c r="C121" s="18" t="s">
        <v>19</v>
      </c>
      <c r="D121" s="18" t="s">
        <v>20</v>
      </c>
      <c r="E121" s="18">
        <v>5264</v>
      </c>
      <c r="F121" s="24">
        <v>44972</v>
      </c>
      <c r="G121" s="24" t="str">
        <f t="shared" si="8"/>
        <v>Discount Eligible</v>
      </c>
    </row>
    <row r="122" spans="1:7">
      <c r="A122" s="18">
        <v>2005</v>
      </c>
      <c r="B122" s="18" t="s">
        <v>11</v>
      </c>
      <c r="C122" s="18" t="s">
        <v>21</v>
      </c>
      <c r="D122" s="18" t="s">
        <v>22</v>
      </c>
      <c r="E122" s="18">
        <v>43388</v>
      </c>
      <c r="F122" s="24">
        <v>44987</v>
      </c>
      <c r="G122" s="24" t="str">
        <f t="shared" si="8"/>
        <v>Discount Eligible</v>
      </c>
    </row>
    <row r="123" spans="1:7">
      <c r="A123" s="18">
        <v>2006</v>
      </c>
      <c r="B123" s="18" t="s">
        <v>17</v>
      </c>
      <c r="C123" s="18" t="s">
        <v>21</v>
      </c>
      <c r="D123" s="18" t="s">
        <v>23</v>
      </c>
      <c r="E123" s="18">
        <v>19757</v>
      </c>
      <c r="F123" s="24">
        <v>45002</v>
      </c>
      <c r="G123" s="24" t="str">
        <f t="shared" si="8"/>
        <v>No Discount</v>
      </c>
    </row>
    <row r="124" spans="1:7">
      <c r="A124" s="18">
        <v>2007</v>
      </c>
      <c r="B124" s="18" t="s">
        <v>17</v>
      </c>
      <c r="C124" s="18" t="s">
        <v>19</v>
      </c>
      <c r="D124" s="18" t="s">
        <v>24</v>
      </c>
      <c r="E124" s="18">
        <v>32058</v>
      </c>
      <c r="F124" s="24">
        <v>45017</v>
      </c>
      <c r="G124" s="24" t="str">
        <f t="shared" si="8"/>
        <v>Discount Eligible</v>
      </c>
    </row>
    <row r="125" spans="1:7">
      <c r="A125" s="18">
        <v>2008</v>
      </c>
      <c r="B125" s="18" t="s">
        <v>11</v>
      </c>
      <c r="C125" s="18" t="s">
        <v>19</v>
      </c>
      <c r="D125" s="18" t="s">
        <v>25</v>
      </c>
      <c r="E125" s="18">
        <v>46429</v>
      </c>
      <c r="F125" s="24">
        <v>45032</v>
      </c>
      <c r="G125" s="24" t="str">
        <f t="shared" si="8"/>
        <v>Discount Eligible</v>
      </c>
    </row>
    <row r="126" spans="1:7">
      <c r="A126" s="18">
        <v>2009</v>
      </c>
      <c r="B126" s="18" t="s">
        <v>14</v>
      </c>
      <c r="C126" s="18" t="s">
        <v>19</v>
      </c>
      <c r="D126" s="18" t="s">
        <v>26</v>
      </c>
      <c r="E126" s="18">
        <v>19746</v>
      </c>
      <c r="F126" s="24">
        <v>45047</v>
      </c>
      <c r="G126" s="24" t="str">
        <f t="shared" si="8"/>
        <v>Discount Eligible</v>
      </c>
    </row>
    <row r="127" spans="1:7">
      <c r="A127" s="18">
        <v>2010</v>
      </c>
      <c r="B127" s="18" t="s">
        <v>11</v>
      </c>
      <c r="C127" s="18" t="s">
        <v>12</v>
      </c>
      <c r="D127" s="18" t="s">
        <v>27</v>
      </c>
      <c r="E127" s="18">
        <v>35185</v>
      </c>
      <c r="F127" s="24">
        <v>45062</v>
      </c>
      <c r="G127" s="24" t="str">
        <f t="shared" si="8"/>
        <v>Discount Eligible</v>
      </c>
    </row>
    <row r="128" spans="1:7">
      <c r="A128" s="18">
        <v>2011</v>
      </c>
      <c r="B128" s="18" t="s">
        <v>11</v>
      </c>
      <c r="C128" s="18" t="s">
        <v>19</v>
      </c>
      <c r="D128" s="18" t="s">
        <v>28</v>
      </c>
      <c r="E128" s="18">
        <v>33920</v>
      </c>
      <c r="F128" s="24">
        <v>45077</v>
      </c>
      <c r="G128" s="24" t="str">
        <f t="shared" si="8"/>
        <v>Discount Eligible</v>
      </c>
    </row>
    <row r="129" spans="1:7">
      <c r="A129" s="18">
        <v>2012</v>
      </c>
      <c r="B129" s="18" t="s">
        <v>29</v>
      </c>
      <c r="C129" s="18" t="s">
        <v>21</v>
      </c>
      <c r="D129" s="18" t="s">
        <v>30</v>
      </c>
      <c r="E129" s="18">
        <v>35611</v>
      </c>
      <c r="F129" s="24">
        <v>45092</v>
      </c>
      <c r="G129" s="24" t="str">
        <f t="shared" si="8"/>
        <v>Discount Eligible</v>
      </c>
    </row>
    <row r="130" spans="1:7">
      <c r="A130" s="18">
        <v>2013</v>
      </c>
      <c r="B130" s="18" t="s">
        <v>31</v>
      </c>
      <c r="C130" s="18" t="s">
        <v>19</v>
      </c>
      <c r="D130" s="18" t="s">
        <v>32</v>
      </c>
      <c r="E130" s="18">
        <v>15560</v>
      </c>
      <c r="F130" s="24">
        <v>45107</v>
      </c>
      <c r="G130" s="24" t="str">
        <f t="shared" si="8"/>
        <v>Discount Eligible</v>
      </c>
    </row>
    <row r="131" spans="1:7">
      <c r="A131" s="18">
        <v>2014</v>
      </c>
      <c r="B131" s="18" t="s">
        <v>31</v>
      </c>
      <c r="C131" s="18" t="s">
        <v>12</v>
      </c>
      <c r="D131" s="18" t="s">
        <v>33</v>
      </c>
      <c r="E131" s="18">
        <v>7283</v>
      </c>
      <c r="F131" s="24">
        <v>45122</v>
      </c>
      <c r="G131" s="24" t="str">
        <f t="shared" si="8"/>
        <v>No Discount</v>
      </c>
    </row>
    <row r="132" spans="1:7">
      <c r="A132" s="18">
        <v>2015</v>
      </c>
      <c r="B132" s="18" t="s">
        <v>31</v>
      </c>
      <c r="C132" s="18" t="s">
        <v>19</v>
      </c>
      <c r="D132" s="18" t="s">
        <v>34</v>
      </c>
      <c r="E132" s="18">
        <v>15678</v>
      </c>
      <c r="F132" s="24">
        <v>45137</v>
      </c>
      <c r="G132" s="24" t="str">
        <f t="shared" si="8"/>
        <v>Discount Eligible</v>
      </c>
    </row>
    <row r="133" spans="1:7">
      <c r="A133" s="18">
        <v>2016</v>
      </c>
      <c r="B133" s="18" t="s">
        <v>17</v>
      </c>
      <c r="C133" s="18" t="s">
        <v>19</v>
      </c>
      <c r="D133" s="18" t="s">
        <v>35</v>
      </c>
      <c r="E133" s="18">
        <v>5277</v>
      </c>
      <c r="F133" s="24">
        <v>45152</v>
      </c>
      <c r="G133" s="24" t="str">
        <f t="shared" si="8"/>
        <v>Discount Eligible</v>
      </c>
    </row>
    <row r="134" spans="1:7">
      <c r="A134" s="18">
        <v>2017</v>
      </c>
      <c r="B134" s="18" t="s">
        <v>29</v>
      </c>
      <c r="C134" s="18" t="s">
        <v>21</v>
      </c>
      <c r="D134" s="18" t="s">
        <v>36</v>
      </c>
      <c r="E134" s="18">
        <v>41871</v>
      </c>
      <c r="F134" s="24">
        <v>45167</v>
      </c>
      <c r="G134" s="24" t="str">
        <f t="shared" si="8"/>
        <v>Discount Eligible</v>
      </c>
    </row>
    <row r="135" spans="1:7">
      <c r="A135" s="18">
        <v>2018</v>
      </c>
      <c r="B135" s="18" t="s">
        <v>29</v>
      </c>
      <c r="C135" s="18" t="s">
        <v>15</v>
      </c>
      <c r="D135" s="18" t="s">
        <v>37</v>
      </c>
      <c r="E135" s="18">
        <v>38161</v>
      </c>
      <c r="F135" s="24">
        <v>45182</v>
      </c>
      <c r="G135" s="24" t="str">
        <f t="shared" si="8"/>
        <v>Discount Eligible</v>
      </c>
    </row>
    <row r="136" spans="1:7">
      <c r="A136" s="18">
        <v>2019</v>
      </c>
      <c r="B136" s="18" t="s">
        <v>17</v>
      </c>
      <c r="C136" s="18" t="s">
        <v>15</v>
      </c>
      <c r="D136" s="18" t="s">
        <v>38</v>
      </c>
      <c r="E136" s="18">
        <v>30436</v>
      </c>
      <c r="F136" s="24">
        <v>45197</v>
      </c>
      <c r="G136" s="24" t="str">
        <f t="shared" si="8"/>
        <v>Discount Eligible</v>
      </c>
    </row>
    <row r="137" spans="1:7">
      <c r="A137" s="18">
        <v>2020</v>
      </c>
      <c r="B137" s="18" t="s">
        <v>14</v>
      </c>
      <c r="C137" s="18" t="s">
        <v>15</v>
      </c>
      <c r="D137" s="18" t="s">
        <v>39</v>
      </c>
      <c r="E137" s="18">
        <v>33953</v>
      </c>
      <c r="F137" s="24">
        <v>45212</v>
      </c>
      <c r="G137" s="24" t="str">
        <f t="shared" si="8"/>
        <v>Discount Eligible</v>
      </c>
    </row>
    <row r="138" spans="1:7">
      <c r="A138" s="35" t="s">
        <v>78</v>
      </c>
      <c r="B138" s="36"/>
      <c r="C138" s="36"/>
      <c r="D138" s="36"/>
      <c r="E138" s="36"/>
      <c r="F138" s="36"/>
      <c r="G138" s="37"/>
    </row>
    <row r="139" spans="1:7">
      <c r="A139" s="41" t="s">
        <v>79</v>
      </c>
      <c r="B139" s="41"/>
      <c r="C139" s="41"/>
      <c r="D139" s="41"/>
      <c r="E139" s="41"/>
      <c r="F139" s="41"/>
      <c r="G139" s="41"/>
    </row>
    <row r="140" spans="1:7">
      <c r="A140" s="16" t="s">
        <v>45</v>
      </c>
      <c r="B140" s="16" t="s">
        <v>3</v>
      </c>
      <c r="C140" s="16" t="s">
        <v>46</v>
      </c>
      <c r="D140" s="16" t="s">
        <v>47</v>
      </c>
      <c r="E140" s="16" t="s">
        <v>48</v>
      </c>
      <c r="F140" s="16" t="s">
        <v>49</v>
      </c>
    </row>
    <row r="141" spans="1:7">
      <c r="A141" s="18">
        <v>1001</v>
      </c>
      <c r="B141" s="18" t="s">
        <v>50</v>
      </c>
      <c r="C141" s="18">
        <v>61</v>
      </c>
      <c r="D141" s="18">
        <v>48</v>
      </c>
      <c r="E141" s="18">
        <v>76</v>
      </c>
      <c r="F141" s="24">
        <v>43101</v>
      </c>
    </row>
    <row r="142" spans="1:7">
      <c r="A142" s="18">
        <v>1002</v>
      </c>
      <c r="B142" s="18" t="s">
        <v>51</v>
      </c>
      <c r="C142" s="18">
        <v>78</v>
      </c>
      <c r="D142" s="18">
        <v>76</v>
      </c>
      <c r="E142" s="18">
        <v>70</v>
      </c>
      <c r="F142" s="24">
        <v>43281</v>
      </c>
    </row>
    <row r="143" spans="1:7">
      <c r="A143" s="18">
        <v>1003</v>
      </c>
      <c r="B143" s="18" t="s">
        <v>52</v>
      </c>
      <c r="C143" s="18">
        <v>97</v>
      </c>
      <c r="D143" s="18">
        <v>60</v>
      </c>
      <c r="E143" s="18">
        <v>51</v>
      </c>
      <c r="F143" s="24">
        <v>43461</v>
      </c>
    </row>
    <row r="144" spans="1:7">
      <c r="A144" s="18">
        <v>1004</v>
      </c>
      <c r="B144" s="18" t="s">
        <v>53</v>
      </c>
      <c r="C144" s="18">
        <v>74</v>
      </c>
      <c r="D144" s="18">
        <v>55</v>
      </c>
      <c r="E144" s="18">
        <v>46</v>
      </c>
      <c r="F144" s="24">
        <v>43641</v>
      </c>
    </row>
    <row r="145" spans="1:6">
      <c r="A145" s="18">
        <v>1005</v>
      </c>
      <c r="B145" s="18" t="s">
        <v>54</v>
      </c>
      <c r="C145" s="18">
        <v>68</v>
      </c>
      <c r="D145" s="18">
        <v>74</v>
      </c>
      <c r="E145" s="18">
        <v>84</v>
      </c>
      <c r="F145" s="24">
        <v>43821</v>
      </c>
    </row>
    <row r="146" spans="1:6">
      <c r="A146" s="18">
        <v>1006</v>
      </c>
      <c r="B146" s="18" t="s">
        <v>55</v>
      </c>
      <c r="C146" s="18">
        <v>80</v>
      </c>
      <c r="D146" s="18">
        <v>70</v>
      </c>
      <c r="E146" s="18">
        <v>65</v>
      </c>
      <c r="F146" s="24">
        <v>44001</v>
      </c>
    </row>
    <row r="147" spans="1:6">
      <c r="A147" s="18">
        <v>1007</v>
      </c>
      <c r="B147" s="18" t="s">
        <v>56</v>
      </c>
      <c r="C147" s="18">
        <v>75</v>
      </c>
      <c r="D147" s="18">
        <v>47</v>
      </c>
      <c r="E147" s="18">
        <v>78</v>
      </c>
      <c r="F147" s="24">
        <v>44181</v>
      </c>
    </row>
    <row r="148" spans="1:6">
      <c r="A148" s="18">
        <v>1008</v>
      </c>
      <c r="B148" s="18" t="s">
        <v>57</v>
      </c>
      <c r="C148" s="18">
        <v>94</v>
      </c>
      <c r="D148" s="18">
        <v>67</v>
      </c>
      <c r="E148" s="18">
        <v>64</v>
      </c>
      <c r="F148" s="24">
        <v>44361</v>
      </c>
    </row>
    <row r="149" spans="1:6">
      <c r="A149" s="18">
        <v>1009</v>
      </c>
      <c r="B149" s="18" t="s">
        <v>58</v>
      </c>
      <c r="C149" s="18">
        <v>41</v>
      </c>
      <c r="D149" s="18">
        <v>75</v>
      </c>
      <c r="E149" s="18">
        <v>56</v>
      </c>
      <c r="F149" s="24">
        <v>44541</v>
      </c>
    </row>
    <row r="150" spans="1:6">
      <c r="A150" s="18">
        <v>1010</v>
      </c>
      <c r="B150" s="18" t="s">
        <v>59</v>
      </c>
      <c r="C150" s="18">
        <v>98</v>
      </c>
      <c r="D150" s="18">
        <v>54</v>
      </c>
      <c r="E150" s="18">
        <v>58</v>
      </c>
      <c r="F150" s="24">
        <v>44721</v>
      </c>
    </row>
    <row r="151" spans="1:6">
      <c r="A151" s="18">
        <v>1011</v>
      </c>
      <c r="B151" s="18" t="s">
        <v>60</v>
      </c>
      <c r="C151" s="18">
        <v>73</v>
      </c>
      <c r="D151" s="18">
        <v>79</v>
      </c>
      <c r="E151" s="18">
        <v>53</v>
      </c>
      <c r="F151" s="24">
        <v>44901</v>
      </c>
    </row>
    <row r="152" spans="1:6">
      <c r="A152" s="18">
        <v>1012</v>
      </c>
      <c r="B152" s="18" t="s">
        <v>61</v>
      </c>
      <c r="C152" s="18">
        <v>85</v>
      </c>
      <c r="D152" s="18">
        <v>89</v>
      </c>
      <c r="E152" s="18">
        <v>79</v>
      </c>
      <c r="F152" s="24">
        <v>45081</v>
      </c>
    </row>
    <row r="153" spans="1:6">
      <c r="A153" s="18">
        <v>1013</v>
      </c>
      <c r="B153" s="18" t="s">
        <v>62</v>
      </c>
      <c r="C153" s="18">
        <v>98</v>
      </c>
      <c r="D153" s="18">
        <v>90</v>
      </c>
      <c r="E153" s="18">
        <v>97</v>
      </c>
      <c r="F153" s="24">
        <v>45261</v>
      </c>
    </row>
    <row r="154" spans="1:6">
      <c r="A154" s="18">
        <v>1014</v>
      </c>
      <c r="B154" s="18" t="s">
        <v>63</v>
      </c>
      <c r="C154" s="18">
        <v>93</v>
      </c>
      <c r="D154" s="18">
        <v>40</v>
      </c>
      <c r="E154" s="18">
        <v>44</v>
      </c>
      <c r="F154" s="24">
        <v>45441</v>
      </c>
    </row>
    <row r="155" spans="1:6">
      <c r="A155" s="18">
        <v>1015</v>
      </c>
      <c r="B155" s="18" t="s">
        <v>64</v>
      </c>
      <c r="C155" s="18">
        <v>70</v>
      </c>
      <c r="D155" s="18">
        <v>51</v>
      </c>
      <c r="E155" s="18">
        <v>75</v>
      </c>
      <c r="F155" s="24">
        <v>45621</v>
      </c>
    </row>
    <row r="156" spans="1:6">
      <c r="A156" s="18">
        <v>1016</v>
      </c>
      <c r="B156" s="18" t="s">
        <v>65</v>
      </c>
      <c r="C156" s="18">
        <v>98</v>
      </c>
      <c r="D156" s="18">
        <v>77</v>
      </c>
      <c r="E156" s="18">
        <v>60</v>
      </c>
      <c r="F156" s="24">
        <v>45801</v>
      </c>
    </row>
    <row r="157" spans="1:6">
      <c r="A157" s="18">
        <v>1017</v>
      </c>
      <c r="B157" s="18" t="s">
        <v>66</v>
      </c>
      <c r="C157" s="18">
        <v>66</v>
      </c>
      <c r="D157" s="18">
        <v>59</v>
      </c>
      <c r="E157" s="18">
        <v>40</v>
      </c>
      <c r="F157" s="24">
        <v>45981</v>
      </c>
    </row>
    <row r="158" spans="1:6">
      <c r="A158" s="18">
        <v>1018</v>
      </c>
      <c r="B158" s="18" t="s">
        <v>67</v>
      </c>
      <c r="C158" s="18">
        <v>82</v>
      </c>
      <c r="D158" s="18">
        <v>48</v>
      </c>
      <c r="E158" s="18">
        <v>79</v>
      </c>
      <c r="F158" s="24">
        <v>46161</v>
      </c>
    </row>
    <row r="159" spans="1:6">
      <c r="A159" s="18">
        <v>1019</v>
      </c>
      <c r="B159" s="18" t="s">
        <v>68</v>
      </c>
      <c r="C159" s="18">
        <v>90</v>
      </c>
      <c r="D159" s="18">
        <v>78</v>
      </c>
      <c r="E159" s="18">
        <v>60</v>
      </c>
      <c r="F159" s="24">
        <v>46341</v>
      </c>
    </row>
    <row r="160" spans="1:6">
      <c r="A160" s="18">
        <v>1020</v>
      </c>
      <c r="B160" s="18" t="s">
        <v>69</v>
      </c>
      <c r="C160" s="18">
        <v>83</v>
      </c>
      <c r="D160" s="18">
        <v>92</v>
      </c>
      <c r="E160" s="18">
        <v>55</v>
      </c>
      <c r="F160" s="24">
        <v>46521</v>
      </c>
    </row>
    <row r="161" spans="1:9">
      <c r="C161" s="27">
        <f>COUNTIFS(C141:C160,"&gt;50")</f>
        <v>19</v>
      </c>
    </row>
    <row r="162" spans="1:9">
      <c r="A162" s="41" t="s">
        <v>80</v>
      </c>
      <c r="B162" s="41"/>
      <c r="C162" s="41"/>
      <c r="D162" s="41"/>
      <c r="E162" s="41"/>
      <c r="F162" s="41"/>
      <c r="G162" s="41"/>
    </row>
    <row r="163" spans="1:9">
      <c r="A163" s="16" t="s">
        <v>5</v>
      </c>
      <c r="B163" s="16" t="s">
        <v>6</v>
      </c>
      <c r="C163" s="16" t="s">
        <v>7</v>
      </c>
      <c r="D163" s="16" t="s">
        <v>8</v>
      </c>
      <c r="E163" s="16" t="s">
        <v>9</v>
      </c>
      <c r="F163" s="16" t="s">
        <v>10</v>
      </c>
    </row>
    <row r="164" spans="1:9">
      <c r="A164" s="18">
        <v>2001</v>
      </c>
      <c r="B164" s="18" t="s">
        <v>11</v>
      </c>
      <c r="C164" s="18" t="s">
        <v>12</v>
      </c>
      <c r="D164" s="18" t="s">
        <v>13</v>
      </c>
      <c r="E164" s="18">
        <v>7048</v>
      </c>
      <c r="F164" s="24">
        <v>44927</v>
      </c>
    </row>
    <row r="165" spans="1:9">
      <c r="A165" s="18">
        <v>2002</v>
      </c>
      <c r="B165" s="18" t="s">
        <v>14</v>
      </c>
      <c r="C165" s="18" t="s">
        <v>15</v>
      </c>
      <c r="D165" s="18" t="s">
        <v>16</v>
      </c>
      <c r="E165" s="18">
        <v>17428</v>
      </c>
      <c r="F165" s="24">
        <v>44942</v>
      </c>
    </row>
    <row r="166" spans="1:9">
      <c r="A166" s="18">
        <v>2003</v>
      </c>
      <c r="B166" s="18" t="s">
        <v>17</v>
      </c>
      <c r="C166" s="18" t="s">
        <v>12</v>
      </c>
      <c r="D166" s="18" t="s">
        <v>18</v>
      </c>
      <c r="E166" s="18">
        <v>23672</v>
      </c>
      <c r="F166" s="24">
        <v>44957</v>
      </c>
    </row>
    <row r="167" spans="1:9">
      <c r="A167" s="18">
        <v>2004</v>
      </c>
      <c r="B167" s="18" t="s">
        <v>14</v>
      </c>
      <c r="C167" s="18" t="s">
        <v>19</v>
      </c>
      <c r="D167" s="18" t="s">
        <v>20</v>
      </c>
      <c r="E167" s="18">
        <v>5264</v>
      </c>
      <c r="F167" s="24">
        <v>44972</v>
      </c>
    </row>
    <row r="168" spans="1:9">
      <c r="A168" s="18">
        <v>2005</v>
      </c>
      <c r="B168" s="18" t="s">
        <v>11</v>
      </c>
      <c r="C168" s="18" t="s">
        <v>21</v>
      </c>
      <c r="D168" s="18" t="s">
        <v>22</v>
      </c>
      <c r="E168" s="18">
        <v>43388</v>
      </c>
      <c r="F168" s="24">
        <v>44987</v>
      </c>
      <c r="H168" s="46" t="s">
        <v>95</v>
      </c>
      <c r="I168" s="46" t="s">
        <v>96</v>
      </c>
    </row>
    <row r="169" spans="1:9">
      <c r="A169" s="18">
        <v>2006</v>
      </c>
      <c r="B169" s="18" t="s">
        <v>17</v>
      </c>
      <c r="C169" s="18" t="s">
        <v>21</v>
      </c>
      <c r="D169" s="18" t="s">
        <v>23</v>
      </c>
      <c r="E169" s="18">
        <v>19757</v>
      </c>
      <c r="F169" s="24">
        <v>45002</v>
      </c>
      <c r="H169" s="20">
        <f>SUMIFS(E164:E183,B164:B183,"keyboard",C164:C183,"East")</f>
        <v>80349</v>
      </c>
      <c r="I169" s="20">
        <f>SUMIFS(E164:E183,B164:B183,"Printer",C164:C183,"West")</f>
        <v>51381</v>
      </c>
    </row>
    <row r="170" spans="1:9">
      <c r="A170" s="18">
        <v>2007</v>
      </c>
      <c r="B170" s="18" t="s">
        <v>17</v>
      </c>
      <c r="C170" s="18" t="s">
        <v>19</v>
      </c>
      <c r="D170" s="18" t="s">
        <v>24</v>
      </c>
      <c r="E170" s="18">
        <v>32058</v>
      </c>
      <c r="F170" s="24">
        <v>45017</v>
      </c>
    </row>
    <row r="171" spans="1:9">
      <c r="A171" s="18">
        <v>2008</v>
      </c>
      <c r="B171" s="18" t="s">
        <v>11</v>
      </c>
      <c r="C171" s="18" t="s">
        <v>19</v>
      </c>
      <c r="D171" s="18" t="s">
        <v>25</v>
      </c>
      <c r="E171" s="18">
        <v>46429</v>
      </c>
      <c r="F171" s="24">
        <v>45032</v>
      </c>
    </row>
    <row r="172" spans="1:9">
      <c r="A172" s="18">
        <v>2009</v>
      </c>
      <c r="B172" s="18" t="s">
        <v>14</v>
      </c>
      <c r="C172" s="18" t="s">
        <v>19</v>
      </c>
      <c r="D172" s="18" t="s">
        <v>26</v>
      </c>
      <c r="E172" s="18">
        <v>19746</v>
      </c>
      <c r="F172" s="24">
        <v>45047</v>
      </c>
    </row>
    <row r="173" spans="1:9">
      <c r="A173" s="18">
        <v>2010</v>
      </c>
      <c r="B173" s="18" t="s">
        <v>11</v>
      </c>
      <c r="C173" s="18" t="s">
        <v>12</v>
      </c>
      <c r="D173" s="18" t="s">
        <v>27</v>
      </c>
      <c r="E173" s="18">
        <v>35185</v>
      </c>
      <c r="F173" s="24">
        <v>45062</v>
      </c>
    </row>
    <row r="174" spans="1:9">
      <c r="A174" s="18">
        <v>2011</v>
      </c>
      <c r="B174" s="18" t="s">
        <v>11</v>
      </c>
      <c r="C174" s="18" t="s">
        <v>19</v>
      </c>
      <c r="D174" s="18" t="s">
        <v>28</v>
      </c>
      <c r="E174" s="18">
        <v>33920</v>
      </c>
      <c r="F174" s="24">
        <v>45077</v>
      </c>
    </row>
    <row r="175" spans="1:9">
      <c r="A175" s="18">
        <v>2012</v>
      </c>
      <c r="B175" s="18" t="s">
        <v>29</v>
      </c>
      <c r="C175" s="18" t="s">
        <v>21</v>
      </c>
      <c r="D175" s="18" t="s">
        <v>30</v>
      </c>
      <c r="E175" s="18">
        <v>35611</v>
      </c>
      <c r="F175" s="24">
        <v>45092</v>
      </c>
    </row>
    <row r="176" spans="1:9">
      <c r="A176" s="18">
        <v>2013</v>
      </c>
      <c r="B176" s="18" t="s">
        <v>31</v>
      </c>
      <c r="C176" s="18" t="s">
        <v>19</v>
      </c>
      <c r="D176" s="18" t="s">
        <v>32</v>
      </c>
      <c r="E176" s="18">
        <v>15560</v>
      </c>
      <c r="F176" s="24">
        <v>45107</v>
      </c>
    </row>
    <row r="177" spans="1:7">
      <c r="A177" s="18">
        <v>2014</v>
      </c>
      <c r="B177" s="18" t="s">
        <v>31</v>
      </c>
      <c r="C177" s="18" t="s">
        <v>12</v>
      </c>
      <c r="D177" s="18" t="s">
        <v>33</v>
      </c>
      <c r="E177" s="18">
        <v>7283</v>
      </c>
      <c r="F177" s="24">
        <v>45122</v>
      </c>
    </row>
    <row r="178" spans="1:7">
      <c r="A178" s="18">
        <v>2015</v>
      </c>
      <c r="B178" s="18" t="s">
        <v>31</v>
      </c>
      <c r="C178" s="18" t="s">
        <v>19</v>
      </c>
      <c r="D178" s="18" t="s">
        <v>34</v>
      </c>
      <c r="E178" s="18">
        <v>15678</v>
      </c>
      <c r="F178" s="24">
        <v>45137</v>
      </c>
    </row>
    <row r="179" spans="1:7">
      <c r="A179" s="18">
        <v>2016</v>
      </c>
      <c r="B179" s="18" t="s">
        <v>17</v>
      </c>
      <c r="C179" s="18" t="s">
        <v>19</v>
      </c>
      <c r="D179" s="18" t="s">
        <v>35</v>
      </c>
      <c r="E179" s="18">
        <v>5277</v>
      </c>
      <c r="F179" s="24">
        <v>45152</v>
      </c>
    </row>
    <row r="180" spans="1:7">
      <c r="A180" s="18">
        <v>2017</v>
      </c>
      <c r="B180" s="18" t="s">
        <v>29</v>
      </c>
      <c r="C180" s="18" t="s">
        <v>21</v>
      </c>
      <c r="D180" s="18" t="s">
        <v>36</v>
      </c>
      <c r="E180" s="18">
        <v>41871</v>
      </c>
      <c r="F180" s="24">
        <v>45167</v>
      </c>
    </row>
    <row r="181" spans="1:7">
      <c r="A181" s="18">
        <v>2018</v>
      </c>
      <c r="B181" s="18" t="s">
        <v>29</v>
      </c>
      <c r="C181" s="18" t="s">
        <v>15</v>
      </c>
      <c r="D181" s="18" t="s">
        <v>37</v>
      </c>
      <c r="E181" s="18">
        <v>38161</v>
      </c>
      <c r="F181" s="24">
        <v>45182</v>
      </c>
    </row>
    <row r="182" spans="1:7">
      <c r="A182" s="18">
        <v>2019</v>
      </c>
      <c r="B182" s="18" t="s">
        <v>17</v>
      </c>
      <c r="C182" s="18" t="s">
        <v>15</v>
      </c>
      <c r="D182" s="18" t="s">
        <v>38</v>
      </c>
      <c r="E182" s="18">
        <v>30436</v>
      </c>
      <c r="F182" s="24">
        <v>45197</v>
      </c>
    </row>
    <row r="183" spans="1:7">
      <c r="A183" s="18">
        <v>2020</v>
      </c>
      <c r="B183" s="18" t="s">
        <v>14</v>
      </c>
      <c r="C183" s="18" t="s">
        <v>15</v>
      </c>
      <c r="D183" s="18" t="s">
        <v>39</v>
      </c>
      <c r="E183" s="18">
        <v>33953</v>
      </c>
      <c r="F183" s="24">
        <v>45212</v>
      </c>
    </row>
    <row r="184" spans="1:7">
      <c r="E184" s="56"/>
    </row>
    <row r="185" spans="1:7">
      <c r="A185" s="47" t="s">
        <v>81</v>
      </c>
      <c r="B185" s="48"/>
      <c r="C185" s="48"/>
      <c r="D185" s="48"/>
      <c r="E185" s="48"/>
      <c r="F185" s="48"/>
      <c r="G185" s="49"/>
    </row>
    <row r="186" spans="1:7">
      <c r="A186" s="16" t="s">
        <v>45</v>
      </c>
      <c r="B186" s="16" t="s">
        <v>3</v>
      </c>
      <c r="C186" s="16" t="s">
        <v>46</v>
      </c>
      <c r="D186" s="16" t="s">
        <v>47</v>
      </c>
      <c r="E186" s="16" t="s">
        <v>48</v>
      </c>
      <c r="F186" s="16" t="s">
        <v>49</v>
      </c>
    </row>
    <row r="187" spans="1:7">
      <c r="A187" s="18">
        <v>1001</v>
      </c>
      <c r="B187" s="18" t="s">
        <v>50</v>
      </c>
      <c r="C187" s="18">
        <v>61</v>
      </c>
      <c r="D187" s="18">
        <v>48</v>
      </c>
      <c r="E187" s="18">
        <v>76</v>
      </c>
      <c r="F187" s="24">
        <v>43101</v>
      </c>
    </row>
    <row r="188" spans="1:7">
      <c r="A188" s="18">
        <v>1002</v>
      </c>
      <c r="B188" s="18" t="s">
        <v>51</v>
      </c>
      <c r="C188" s="18">
        <v>78</v>
      </c>
      <c r="D188" s="18">
        <v>76</v>
      </c>
      <c r="E188" s="18">
        <v>70</v>
      </c>
      <c r="F188" s="24">
        <v>43281</v>
      </c>
    </row>
    <row r="189" spans="1:7">
      <c r="A189" s="18">
        <v>1003</v>
      </c>
      <c r="B189" s="18" t="s">
        <v>52</v>
      </c>
      <c r="C189" s="18">
        <v>97</v>
      </c>
      <c r="D189" s="18">
        <v>60</v>
      </c>
      <c r="E189" s="18">
        <v>51</v>
      </c>
      <c r="F189" s="24">
        <v>43461</v>
      </c>
    </row>
    <row r="190" spans="1:7">
      <c r="A190" s="18">
        <v>1004</v>
      </c>
      <c r="B190" s="18" t="s">
        <v>53</v>
      </c>
      <c r="C190" s="18">
        <v>74</v>
      </c>
      <c r="D190" s="18">
        <v>55</v>
      </c>
      <c r="E190" s="18">
        <v>46</v>
      </c>
      <c r="F190" s="24">
        <v>43641</v>
      </c>
    </row>
    <row r="191" spans="1:7">
      <c r="A191" s="18">
        <v>1005</v>
      </c>
      <c r="B191" s="18" t="s">
        <v>54</v>
      </c>
      <c r="C191" s="18">
        <v>68</v>
      </c>
      <c r="D191" s="18">
        <v>74</v>
      </c>
      <c r="E191" s="18">
        <v>84</v>
      </c>
      <c r="F191" s="24">
        <v>43821</v>
      </c>
    </row>
    <row r="192" spans="1:7">
      <c r="A192" s="18">
        <v>1006</v>
      </c>
      <c r="B192" s="18" t="s">
        <v>55</v>
      </c>
      <c r="C192" s="18">
        <v>80</v>
      </c>
      <c r="D192" s="18">
        <v>70</v>
      </c>
      <c r="E192" s="18">
        <v>65</v>
      </c>
      <c r="F192" s="24">
        <v>44001</v>
      </c>
    </row>
    <row r="193" spans="1:7">
      <c r="A193" s="18">
        <v>1007</v>
      </c>
      <c r="B193" s="18" t="s">
        <v>56</v>
      </c>
      <c r="C193" s="18">
        <v>75</v>
      </c>
      <c r="D193" s="18">
        <v>47</v>
      </c>
      <c r="E193" s="18">
        <v>78</v>
      </c>
      <c r="F193" s="24">
        <v>44181</v>
      </c>
    </row>
    <row r="194" spans="1:7">
      <c r="A194" s="18">
        <v>1008</v>
      </c>
      <c r="B194" s="18" t="s">
        <v>57</v>
      </c>
      <c r="C194" s="18">
        <v>94</v>
      </c>
      <c r="D194" s="18">
        <v>67</v>
      </c>
      <c r="E194" s="18">
        <v>64</v>
      </c>
      <c r="F194" s="24">
        <v>44361</v>
      </c>
    </row>
    <row r="195" spans="1:7">
      <c r="A195" s="18">
        <v>1009</v>
      </c>
      <c r="B195" s="18" t="s">
        <v>58</v>
      </c>
      <c r="C195" s="18">
        <v>41</v>
      </c>
      <c r="D195" s="18">
        <v>75</v>
      </c>
      <c r="E195" s="18">
        <v>56</v>
      </c>
      <c r="F195" s="24">
        <v>44541</v>
      </c>
    </row>
    <row r="196" spans="1:7">
      <c r="A196" s="18">
        <v>1010</v>
      </c>
      <c r="B196" s="18" t="s">
        <v>59</v>
      </c>
      <c r="C196" s="18">
        <v>98</v>
      </c>
      <c r="D196" s="18">
        <v>54</v>
      </c>
      <c r="E196" s="18">
        <v>58</v>
      </c>
      <c r="F196" s="24">
        <v>44721</v>
      </c>
    </row>
    <row r="197" spans="1:7">
      <c r="A197" s="18">
        <v>1011</v>
      </c>
      <c r="B197" s="18" t="s">
        <v>60</v>
      </c>
      <c r="C197" s="18">
        <v>73</v>
      </c>
      <c r="D197" s="18">
        <v>79</v>
      </c>
      <c r="E197" s="18">
        <v>53</v>
      </c>
      <c r="F197" s="24">
        <v>44901</v>
      </c>
    </row>
    <row r="198" spans="1:7">
      <c r="A198" s="18">
        <v>1012</v>
      </c>
      <c r="B198" s="18" t="s">
        <v>61</v>
      </c>
      <c r="C198" s="18">
        <v>85</v>
      </c>
      <c r="D198" s="18">
        <v>89</v>
      </c>
      <c r="E198" s="18">
        <v>79</v>
      </c>
      <c r="F198" s="24">
        <v>45081</v>
      </c>
    </row>
    <row r="199" spans="1:7">
      <c r="A199" s="18">
        <v>1013</v>
      </c>
      <c r="B199" s="18" t="s">
        <v>62</v>
      </c>
      <c r="C199" s="18">
        <v>98</v>
      </c>
      <c r="D199" s="18">
        <v>90</v>
      </c>
      <c r="E199" s="18">
        <v>97</v>
      </c>
      <c r="F199" s="24">
        <v>45261</v>
      </c>
    </row>
    <row r="200" spans="1:7">
      <c r="A200" s="18">
        <v>1014</v>
      </c>
      <c r="B200" s="18" t="s">
        <v>63</v>
      </c>
      <c r="C200" s="18">
        <v>93</v>
      </c>
      <c r="D200" s="18">
        <v>40</v>
      </c>
      <c r="E200" s="18">
        <v>44</v>
      </c>
      <c r="F200" s="24">
        <v>45441</v>
      </c>
    </row>
    <row r="201" spans="1:7">
      <c r="A201" s="18">
        <v>1015</v>
      </c>
      <c r="B201" s="18" t="s">
        <v>64</v>
      </c>
      <c r="C201" s="18">
        <v>70</v>
      </c>
      <c r="D201" s="18">
        <v>51</v>
      </c>
      <c r="E201" s="18">
        <v>75</v>
      </c>
      <c r="F201" s="24">
        <v>45621</v>
      </c>
    </row>
    <row r="202" spans="1:7">
      <c r="A202" s="18">
        <v>1016</v>
      </c>
      <c r="B202" s="18" t="s">
        <v>65</v>
      </c>
      <c r="C202" s="18">
        <v>98</v>
      </c>
      <c r="D202" s="18">
        <v>77</v>
      </c>
      <c r="E202" s="18">
        <v>60</v>
      </c>
      <c r="F202" s="24">
        <v>45801</v>
      </c>
    </row>
    <row r="203" spans="1:7">
      <c r="A203" s="18">
        <v>1017</v>
      </c>
      <c r="B203" s="18" t="s">
        <v>66</v>
      </c>
      <c r="C203" s="18">
        <v>66</v>
      </c>
      <c r="D203" s="18">
        <v>59</v>
      </c>
      <c r="E203" s="18">
        <v>40</v>
      </c>
      <c r="F203" s="24">
        <v>45981</v>
      </c>
    </row>
    <row r="204" spans="1:7">
      <c r="A204" s="18">
        <v>1018</v>
      </c>
      <c r="B204" s="18" t="s">
        <v>67</v>
      </c>
      <c r="C204" s="18">
        <v>82</v>
      </c>
      <c r="D204" s="18">
        <v>48</v>
      </c>
      <c r="E204" s="18">
        <v>79</v>
      </c>
      <c r="F204" s="24">
        <v>46161</v>
      </c>
    </row>
    <row r="205" spans="1:7">
      <c r="A205" s="18">
        <v>1019</v>
      </c>
      <c r="B205" s="18" t="s">
        <v>68</v>
      </c>
      <c r="C205" s="18">
        <v>90</v>
      </c>
      <c r="D205" s="18">
        <v>78</v>
      </c>
      <c r="E205" s="18">
        <v>60</v>
      </c>
      <c r="F205" s="24">
        <v>46341</v>
      </c>
    </row>
    <row r="206" spans="1:7">
      <c r="A206" s="18">
        <v>1020</v>
      </c>
      <c r="B206" s="18" t="s">
        <v>69</v>
      </c>
      <c r="C206" s="18">
        <v>83</v>
      </c>
      <c r="D206" s="18">
        <v>92</v>
      </c>
      <c r="E206" s="18">
        <v>55</v>
      </c>
      <c r="F206" s="24">
        <v>46521</v>
      </c>
    </row>
    <row r="207" spans="1:7">
      <c r="C207" s="27">
        <f>AVERAGEIFS(C187:C206,C187:C206,"&gt;60")</f>
        <v>82.263157894736835</v>
      </c>
      <c r="D207" s="27">
        <f t="shared" ref="D207:E207" si="9">AVERAGEIFS(D187:D206,D187:D206,"&gt;60")</f>
        <v>78.818181818181813</v>
      </c>
      <c r="E207" s="27">
        <f t="shared" si="9"/>
        <v>76.7</v>
      </c>
    </row>
    <row r="208" spans="1:7">
      <c r="A208" s="35" t="s">
        <v>82</v>
      </c>
      <c r="B208" s="36"/>
      <c r="C208" s="36"/>
      <c r="D208" s="36"/>
      <c r="E208" s="36"/>
      <c r="F208" s="36"/>
      <c r="G208" s="37"/>
    </row>
    <row r="209" spans="1:7">
      <c r="A209" s="47" t="s">
        <v>83</v>
      </c>
      <c r="B209" s="48"/>
      <c r="C209" s="48"/>
      <c r="D209" s="48"/>
      <c r="E209" s="48"/>
      <c r="F209" s="48"/>
      <c r="G209" s="49"/>
    </row>
    <row r="210" spans="1:7">
      <c r="A210" s="16" t="s">
        <v>45</v>
      </c>
      <c r="B210" s="16" t="s">
        <v>3</v>
      </c>
      <c r="C210" s="16" t="s">
        <v>46</v>
      </c>
      <c r="D210" s="16" t="s">
        <v>47</v>
      </c>
      <c r="E210" s="16" t="s">
        <v>48</v>
      </c>
      <c r="F210" s="16" t="s">
        <v>49</v>
      </c>
    </row>
    <row r="211" spans="1:7">
      <c r="A211" s="18">
        <v>1001</v>
      </c>
      <c r="B211" s="18" t="s">
        <v>50</v>
      </c>
      <c r="C211" s="18">
        <v>61</v>
      </c>
      <c r="D211" s="18">
        <v>48</v>
      </c>
      <c r="E211" s="18">
        <v>76</v>
      </c>
      <c r="F211" s="24">
        <v>43101</v>
      </c>
    </row>
    <row r="212" spans="1:7">
      <c r="A212" s="18">
        <v>1002</v>
      </c>
      <c r="B212" s="18" t="s">
        <v>51</v>
      </c>
      <c r="C212" s="18">
        <v>78</v>
      </c>
      <c r="D212" s="18">
        <v>76</v>
      </c>
      <c r="E212" s="18">
        <v>70</v>
      </c>
      <c r="F212" s="24">
        <v>43281</v>
      </c>
    </row>
    <row r="213" spans="1:7">
      <c r="A213" s="18">
        <v>1003</v>
      </c>
      <c r="B213" s="18" t="s">
        <v>52</v>
      </c>
      <c r="C213" s="18">
        <v>97</v>
      </c>
      <c r="D213" s="18">
        <v>60</v>
      </c>
      <c r="E213" s="18">
        <v>51</v>
      </c>
      <c r="F213" s="24">
        <v>43461</v>
      </c>
    </row>
    <row r="214" spans="1:7">
      <c r="A214" s="18">
        <v>1004</v>
      </c>
      <c r="B214" s="18" t="s">
        <v>53</v>
      </c>
      <c r="C214" s="18">
        <v>74</v>
      </c>
      <c r="D214" s="18">
        <v>55</v>
      </c>
      <c r="E214" s="18">
        <v>46</v>
      </c>
      <c r="F214" s="24">
        <v>43641</v>
      </c>
      <c r="G214" s="15" t="str">
        <f>VLOOKUP(A212,A210:F230,2,FALSE)</f>
        <v>Student 2</v>
      </c>
    </row>
    <row r="215" spans="1:7">
      <c r="A215" s="18">
        <v>1005</v>
      </c>
      <c r="B215" s="18" t="s">
        <v>54</v>
      </c>
      <c r="C215" s="18">
        <v>68</v>
      </c>
      <c r="D215" s="18">
        <v>74</v>
      </c>
      <c r="E215" s="18">
        <v>84</v>
      </c>
      <c r="F215" s="24">
        <v>43821</v>
      </c>
      <c r="G215" s="15"/>
    </row>
    <row r="216" spans="1:7">
      <c r="A216" s="18">
        <v>1006</v>
      </c>
      <c r="B216" s="18" t="s">
        <v>55</v>
      </c>
      <c r="C216" s="18">
        <v>80</v>
      </c>
      <c r="D216" s="18">
        <v>70</v>
      </c>
      <c r="E216" s="18">
        <v>65</v>
      </c>
      <c r="F216" s="24">
        <v>44001</v>
      </c>
      <c r="G216" s="15" t="str">
        <f>VLOOKUP(A219,A210:E230,2,FALSE)</f>
        <v>Student 9</v>
      </c>
    </row>
    <row r="217" spans="1:7">
      <c r="A217" s="18">
        <v>1007</v>
      </c>
      <c r="B217" s="18" t="s">
        <v>56</v>
      </c>
      <c r="C217" s="18">
        <v>75</v>
      </c>
      <c r="D217" s="18">
        <v>47</v>
      </c>
      <c r="E217" s="18">
        <v>78</v>
      </c>
      <c r="F217" s="24">
        <v>44181</v>
      </c>
      <c r="G217" s="15"/>
    </row>
    <row r="218" spans="1:7">
      <c r="A218" s="18">
        <v>1008</v>
      </c>
      <c r="B218" s="18" t="s">
        <v>57</v>
      </c>
      <c r="C218" s="18">
        <v>94</v>
      </c>
      <c r="D218" s="18">
        <v>67</v>
      </c>
      <c r="E218" s="18">
        <v>64</v>
      </c>
      <c r="F218" s="24">
        <v>44361</v>
      </c>
      <c r="G218" s="15" t="str">
        <f>VLOOKUP(A222,A210:F230,2,TRUE)</f>
        <v>Student 12</v>
      </c>
    </row>
    <row r="219" spans="1:7">
      <c r="A219" s="18">
        <v>1009</v>
      </c>
      <c r="B219" s="18" t="s">
        <v>58</v>
      </c>
      <c r="C219" s="18">
        <v>41</v>
      </c>
      <c r="D219" s="18">
        <v>75</v>
      </c>
      <c r="E219" s="18">
        <v>56</v>
      </c>
      <c r="F219" s="24">
        <v>44541</v>
      </c>
    </row>
    <row r="220" spans="1:7">
      <c r="A220" s="18">
        <v>1010</v>
      </c>
      <c r="B220" s="18" t="s">
        <v>59</v>
      </c>
      <c r="C220" s="18">
        <v>98</v>
      </c>
      <c r="D220" s="18">
        <v>54</v>
      </c>
      <c r="E220" s="18">
        <v>58</v>
      </c>
      <c r="F220" s="24">
        <v>44721</v>
      </c>
    </row>
    <row r="221" spans="1:7">
      <c r="A221" s="18">
        <v>1011</v>
      </c>
      <c r="B221" s="18" t="s">
        <v>60</v>
      </c>
      <c r="C221" s="18">
        <v>73</v>
      </c>
      <c r="D221" s="18">
        <v>79</v>
      </c>
      <c r="E221" s="18">
        <v>53</v>
      </c>
      <c r="F221" s="24">
        <v>44901</v>
      </c>
    </row>
    <row r="222" spans="1:7">
      <c r="A222" s="18">
        <v>1012</v>
      </c>
      <c r="B222" s="18" t="s">
        <v>61</v>
      </c>
      <c r="C222" s="18">
        <v>85</v>
      </c>
      <c r="D222" s="18">
        <v>89</v>
      </c>
      <c r="E222" s="18">
        <v>79</v>
      </c>
      <c r="F222" s="24">
        <v>45081</v>
      </c>
    </row>
    <row r="223" spans="1:7">
      <c r="A223" s="18">
        <v>1013</v>
      </c>
      <c r="B223" s="18" t="s">
        <v>62</v>
      </c>
      <c r="C223" s="18">
        <v>98</v>
      </c>
      <c r="D223" s="18">
        <v>90</v>
      </c>
      <c r="E223" s="18">
        <v>97</v>
      </c>
      <c r="F223" s="24">
        <v>45261</v>
      </c>
    </row>
    <row r="224" spans="1:7">
      <c r="A224" s="18">
        <v>1014</v>
      </c>
      <c r="B224" s="18" t="s">
        <v>63</v>
      </c>
      <c r="C224" s="18">
        <v>93</v>
      </c>
      <c r="D224" s="18">
        <v>40</v>
      </c>
      <c r="E224" s="18">
        <v>44</v>
      </c>
      <c r="F224" s="24">
        <v>45441</v>
      </c>
    </row>
    <row r="225" spans="1:7">
      <c r="A225" s="18">
        <v>1015</v>
      </c>
      <c r="B225" s="18" t="s">
        <v>64</v>
      </c>
      <c r="C225" s="18">
        <v>70</v>
      </c>
      <c r="D225" s="18">
        <v>51</v>
      </c>
      <c r="E225" s="18">
        <v>75</v>
      </c>
      <c r="F225" s="24">
        <v>45621</v>
      </c>
    </row>
    <row r="226" spans="1:7">
      <c r="A226" s="18">
        <v>1016</v>
      </c>
      <c r="B226" s="18" t="s">
        <v>65</v>
      </c>
      <c r="C226" s="18">
        <v>98</v>
      </c>
      <c r="D226" s="18">
        <v>77</v>
      </c>
      <c r="E226" s="18">
        <v>60</v>
      </c>
      <c r="F226" s="24">
        <v>45801</v>
      </c>
    </row>
    <row r="227" spans="1:7">
      <c r="A227" s="18">
        <v>1017</v>
      </c>
      <c r="B227" s="18" t="s">
        <v>66</v>
      </c>
      <c r="C227" s="18">
        <v>66</v>
      </c>
      <c r="D227" s="18">
        <v>59</v>
      </c>
      <c r="E227" s="18">
        <v>40</v>
      </c>
      <c r="F227" s="24">
        <v>45981</v>
      </c>
    </row>
    <row r="228" spans="1:7">
      <c r="A228" s="18">
        <v>1018</v>
      </c>
      <c r="B228" s="18" t="s">
        <v>67</v>
      </c>
      <c r="C228" s="18">
        <v>82</v>
      </c>
      <c r="D228" s="18">
        <v>48</v>
      </c>
      <c r="E228" s="18">
        <v>79</v>
      </c>
      <c r="F228" s="24">
        <v>46161</v>
      </c>
    </row>
    <row r="229" spans="1:7">
      <c r="A229" s="18">
        <v>1019</v>
      </c>
      <c r="B229" s="18" t="s">
        <v>68</v>
      </c>
      <c r="C229" s="18">
        <v>90</v>
      </c>
      <c r="D229" s="18">
        <v>78</v>
      </c>
      <c r="E229" s="18">
        <v>60</v>
      </c>
      <c r="F229" s="24">
        <v>46341</v>
      </c>
    </row>
    <row r="230" spans="1:7">
      <c r="A230" s="18">
        <v>1020</v>
      </c>
      <c r="B230" s="18" t="s">
        <v>69</v>
      </c>
      <c r="C230" s="18">
        <v>83</v>
      </c>
      <c r="D230" s="18">
        <v>92</v>
      </c>
      <c r="E230" s="18">
        <v>55</v>
      </c>
      <c r="F230" s="24">
        <v>46521</v>
      </c>
    </row>
    <row r="231" spans="1:7">
      <c r="A231" s="53" t="s">
        <v>84</v>
      </c>
      <c r="B231" s="54"/>
      <c r="C231" s="54"/>
      <c r="D231" s="54"/>
      <c r="E231" s="54"/>
      <c r="F231" s="54"/>
      <c r="G231" s="55"/>
    </row>
    <row r="232" spans="1:7">
      <c r="A232" s="16" t="s">
        <v>5</v>
      </c>
      <c r="B232" s="16" t="s">
        <v>6</v>
      </c>
      <c r="C232" s="16" t="s">
        <v>7</v>
      </c>
      <c r="D232" s="16" t="s">
        <v>8</v>
      </c>
      <c r="E232" s="16" t="s">
        <v>9</v>
      </c>
      <c r="F232" s="16" t="s">
        <v>10</v>
      </c>
    </row>
    <row r="233" spans="1:7">
      <c r="A233" s="18">
        <v>2001</v>
      </c>
      <c r="B233" s="18" t="s">
        <v>11</v>
      </c>
      <c r="C233" s="18" t="s">
        <v>12</v>
      </c>
      <c r="D233" s="18" t="s">
        <v>13</v>
      </c>
      <c r="E233" s="18">
        <v>7048</v>
      </c>
      <c r="F233" s="24">
        <v>44927</v>
      </c>
    </row>
    <row r="234" spans="1:7">
      <c r="A234" s="18">
        <v>2002</v>
      </c>
      <c r="B234" s="18" t="s">
        <v>14</v>
      </c>
      <c r="C234" s="18" t="s">
        <v>15</v>
      </c>
      <c r="D234" s="18" t="s">
        <v>16</v>
      </c>
      <c r="E234" s="18">
        <v>17428</v>
      </c>
      <c r="F234" s="24">
        <v>44942</v>
      </c>
    </row>
    <row r="235" spans="1:7">
      <c r="A235" s="18">
        <v>2003</v>
      </c>
      <c r="B235" s="18" t="s">
        <v>17</v>
      </c>
      <c r="C235" s="18" t="s">
        <v>12</v>
      </c>
      <c r="D235" s="18" t="s">
        <v>18</v>
      </c>
      <c r="E235" s="18">
        <v>23672</v>
      </c>
      <c r="F235" s="24">
        <v>44957</v>
      </c>
      <c r="G235">
        <f>VLOOKUP(A236,A232:E252,5,TRUE)</f>
        <v>5264</v>
      </c>
    </row>
    <row r="236" spans="1:7">
      <c r="A236" s="18">
        <v>2004</v>
      </c>
      <c r="B236" s="18" t="s">
        <v>14</v>
      </c>
      <c r="C236" s="18" t="s">
        <v>19</v>
      </c>
      <c r="D236" s="18" t="s">
        <v>20</v>
      </c>
      <c r="E236" s="18">
        <v>5264</v>
      </c>
      <c r="F236" s="24">
        <v>44972</v>
      </c>
      <c r="G236">
        <f>VLOOKUP(A244,A232:E252,5,FALSE)</f>
        <v>35611</v>
      </c>
    </row>
    <row r="237" spans="1:7">
      <c r="A237" s="18">
        <v>2005</v>
      </c>
      <c r="B237" s="18" t="s">
        <v>11</v>
      </c>
      <c r="C237" s="18" t="s">
        <v>21</v>
      </c>
      <c r="D237" s="18" t="s">
        <v>22</v>
      </c>
      <c r="E237" s="18">
        <v>43388</v>
      </c>
      <c r="F237" s="24">
        <v>44987</v>
      </c>
    </row>
    <row r="238" spans="1:7">
      <c r="A238" s="18">
        <v>2006</v>
      </c>
      <c r="B238" s="18" t="s">
        <v>17</v>
      </c>
      <c r="C238" s="18" t="s">
        <v>21</v>
      </c>
      <c r="D238" s="18" t="s">
        <v>23</v>
      </c>
      <c r="E238" s="18">
        <v>19757</v>
      </c>
      <c r="F238" s="24">
        <v>45002</v>
      </c>
    </row>
    <row r="239" spans="1:7">
      <c r="A239" s="18">
        <v>2007</v>
      </c>
      <c r="B239" s="18" t="s">
        <v>17</v>
      </c>
      <c r="C239" s="18" t="s">
        <v>19</v>
      </c>
      <c r="D239" s="18" t="s">
        <v>24</v>
      </c>
      <c r="E239" s="18">
        <v>32058</v>
      </c>
      <c r="F239" s="24">
        <v>45017</v>
      </c>
    </row>
    <row r="240" spans="1:7">
      <c r="A240" s="18">
        <v>2008</v>
      </c>
      <c r="B240" s="18" t="s">
        <v>11</v>
      </c>
      <c r="C240" s="18" t="s">
        <v>19</v>
      </c>
      <c r="D240" s="18" t="s">
        <v>25</v>
      </c>
      <c r="E240" s="18">
        <v>46429</v>
      </c>
      <c r="F240" s="24">
        <v>45032</v>
      </c>
    </row>
    <row r="241" spans="1:7">
      <c r="A241" s="18">
        <v>2009</v>
      </c>
      <c r="B241" s="18" t="s">
        <v>14</v>
      </c>
      <c r="C241" s="18" t="s">
        <v>19</v>
      </c>
      <c r="D241" s="18" t="s">
        <v>26</v>
      </c>
      <c r="E241" s="18">
        <v>19746</v>
      </c>
      <c r="F241" s="24">
        <v>45047</v>
      </c>
    </row>
    <row r="242" spans="1:7">
      <c r="A242" s="18">
        <v>2010</v>
      </c>
      <c r="B242" s="18" t="s">
        <v>11</v>
      </c>
      <c r="C242" s="18" t="s">
        <v>12</v>
      </c>
      <c r="D242" s="18" t="s">
        <v>27</v>
      </c>
      <c r="E242" s="18">
        <v>35185</v>
      </c>
      <c r="F242" s="24">
        <v>45062</v>
      </c>
    </row>
    <row r="243" spans="1:7">
      <c r="A243" s="18">
        <v>2011</v>
      </c>
      <c r="B243" s="18" t="s">
        <v>11</v>
      </c>
      <c r="C243" s="18" t="s">
        <v>19</v>
      </c>
      <c r="D243" s="18" t="s">
        <v>28</v>
      </c>
      <c r="E243" s="18">
        <v>33920</v>
      </c>
      <c r="F243" s="24">
        <v>45077</v>
      </c>
    </row>
    <row r="244" spans="1:7">
      <c r="A244" s="18">
        <v>2012</v>
      </c>
      <c r="B244" s="18" t="s">
        <v>29</v>
      </c>
      <c r="C244" s="18" t="s">
        <v>21</v>
      </c>
      <c r="D244" s="18" t="s">
        <v>30</v>
      </c>
      <c r="E244" s="18">
        <v>35611</v>
      </c>
      <c r="F244" s="24">
        <v>45092</v>
      </c>
    </row>
    <row r="245" spans="1:7">
      <c r="A245" s="18">
        <v>2013</v>
      </c>
      <c r="B245" s="18" t="s">
        <v>31</v>
      </c>
      <c r="C245" s="18" t="s">
        <v>19</v>
      </c>
      <c r="D245" s="18" t="s">
        <v>32</v>
      </c>
      <c r="E245" s="18">
        <v>15560</v>
      </c>
      <c r="F245" s="24">
        <v>45107</v>
      </c>
    </row>
    <row r="246" spans="1:7">
      <c r="A246" s="18">
        <v>2014</v>
      </c>
      <c r="B246" s="18" t="s">
        <v>31</v>
      </c>
      <c r="C246" s="18" t="s">
        <v>12</v>
      </c>
      <c r="D246" s="18" t="s">
        <v>33</v>
      </c>
      <c r="E246" s="18">
        <v>7283</v>
      </c>
      <c r="F246" s="24">
        <v>45122</v>
      </c>
    </row>
    <row r="247" spans="1:7">
      <c r="A247" s="18">
        <v>2015</v>
      </c>
      <c r="B247" s="18" t="s">
        <v>31</v>
      </c>
      <c r="C247" s="18" t="s">
        <v>19</v>
      </c>
      <c r="D247" s="18" t="s">
        <v>34</v>
      </c>
      <c r="E247" s="18">
        <v>15678</v>
      </c>
      <c r="F247" s="24">
        <v>45137</v>
      </c>
    </row>
    <row r="248" spans="1:7">
      <c r="A248" s="18">
        <v>2016</v>
      </c>
      <c r="B248" s="18" t="s">
        <v>17</v>
      </c>
      <c r="C248" s="18" t="s">
        <v>19</v>
      </c>
      <c r="D248" s="18" t="s">
        <v>35</v>
      </c>
      <c r="E248" s="18">
        <v>5277</v>
      </c>
      <c r="F248" s="24">
        <v>45152</v>
      </c>
    </row>
    <row r="249" spans="1:7">
      <c r="A249" s="18">
        <v>2017</v>
      </c>
      <c r="B249" s="18" t="s">
        <v>29</v>
      </c>
      <c r="C249" s="18" t="s">
        <v>21</v>
      </c>
      <c r="D249" s="18" t="s">
        <v>36</v>
      </c>
      <c r="E249" s="18">
        <v>41871</v>
      </c>
      <c r="F249" s="24">
        <v>45167</v>
      </c>
    </row>
    <row r="250" spans="1:7">
      <c r="A250" s="18">
        <v>2018</v>
      </c>
      <c r="B250" s="18" t="s">
        <v>29</v>
      </c>
      <c r="C250" s="18" t="s">
        <v>15</v>
      </c>
      <c r="D250" s="18" t="s">
        <v>37</v>
      </c>
      <c r="E250" s="18">
        <v>38161</v>
      </c>
      <c r="F250" s="24">
        <v>45182</v>
      </c>
    </row>
    <row r="251" spans="1:7">
      <c r="A251" s="18">
        <v>2019</v>
      </c>
      <c r="B251" s="18" t="s">
        <v>17</v>
      </c>
      <c r="C251" s="18" t="s">
        <v>15</v>
      </c>
      <c r="D251" s="18" t="s">
        <v>38</v>
      </c>
      <c r="E251" s="18">
        <v>30436</v>
      </c>
      <c r="F251" s="24">
        <v>45197</v>
      </c>
    </row>
    <row r="252" spans="1:7">
      <c r="A252" s="18">
        <v>2020</v>
      </c>
      <c r="B252" s="18" t="s">
        <v>14</v>
      </c>
      <c r="C252" s="18" t="s">
        <v>15</v>
      </c>
      <c r="D252" s="18" t="s">
        <v>39</v>
      </c>
      <c r="E252" s="18">
        <v>33953</v>
      </c>
      <c r="F252" s="24">
        <v>45212</v>
      </c>
    </row>
    <row r="253" spans="1:7">
      <c r="A253" s="50" t="s">
        <v>85</v>
      </c>
      <c r="B253" s="51"/>
      <c r="C253" s="51"/>
      <c r="D253" s="51"/>
      <c r="E253" s="51"/>
      <c r="F253" s="51"/>
      <c r="G253" s="52"/>
    </row>
    <row r="254" spans="1:7">
      <c r="A254" s="41" t="s">
        <v>86</v>
      </c>
      <c r="B254" s="41"/>
      <c r="C254" s="41"/>
      <c r="D254" s="41"/>
      <c r="E254" s="41"/>
      <c r="F254" s="41"/>
      <c r="G254" s="41"/>
    </row>
    <row r="255" spans="1:7">
      <c r="A255" s="57" t="s">
        <v>5</v>
      </c>
      <c r="B255" s="57" t="s">
        <v>6</v>
      </c>
      <c r="C255" s="57" t="s">
        <v>7</v>
      </c>
      <c r="D255" s="57" t="s">
        <v>8</v>
      </c>
      <c r="E255" s="57" t="s">
        <v>9</v>
      </c>
      <c r="F255" s="57" t="s">
        <v>10</v>
      </c>
    </row>
    <row r="256" spans="1:7">
      <c r="A256" s="18">
        <v>2001</v>
      </c>
      <c r="B256" s="18" t="s">
        <v>11</v>
      </c>
      <c r="C256" s="18" t="s">
        <v>12</v>
      </c>
      <c r="D256" s="18" t="s">
        <v>13</v>
      </c>
      <c r="E256" s="18">
        <v>7048</v>
      </c>
      <c r="F256" s="24">
        <v>44927</v>
      </c>
    </row>
    <row r="257" spans="1:13">
      <c r="A257" s="18">
        <v>2002</v>
      </c>
      <c r="B257" s="18" t="s">
        <v>14</v>
      </c>
      <c r="C257" s="18" t="s">
        <v>15</v>
      </c>
      <c r="D257" s="18" t="s">
        <v>16</v>
      </c>
      <c r="E257" s="18">
        <v>17428</v>
      </c>
      <c r="F257" s="24">
        <v>44942</v>
      </c>
    </row>
    <row r="258" spans="1:13">
      <c r="A258" s="18">
        <v>2003</v>
      </c>
      <c r="B258" s="18" t="s">
        <v>17</v>
      </c>
      <c r="C258" s="18" t="s">
        <v>12</v>
      </c>
      <c r="D258" s="18" t="s">
        <v>18</v>
      </c>
      <c r="E258" s="18">
        <v>23672</v>
      </c>
      <c r="F258" s="24">
        <v>44957</v>
      </c>
    </row>
    <row r="259" spans="1:13" ht="15.6" customHeight="1">
      <c r="A259" s="18">
        <v>2004</v>
      </c>
      <c r="B259" s="18" t="s">
        <v>14</v>
      </c>
      <c r="C259" s="18" t="s">
        <v>19</v>
      </c>
      <c r="D259" s="18" t="s">
        <v>20</v>
      </c>
      <c r="E259" s="18">
        <v>5264</v>
      </c>
      <c r="F259" s="24">
        <v>44972</v>
      </c>
      <c r="G259" s="33" t="s">
        <v>97</v>
      </c>
    </row>
    <row r="260" spans="1:13">
      <c r="A260" s="18">
        <v>2005</v>
      </c>
      <c r="B260" s="18" t="s">
        <v>11</v>
      </c>
      <c r="C260" s="18" t="s">
        <v>21</v>
      </c>
      <c r="D260" s="18" t="s">
        <v>22</v>
      </c>
      <c r="E260" s="18">
        <v>43388</v>
      </c>
      <c r="F260" s="24">
        <v>44987</v>
      </c>
      <c r="K260" s="30" t="s">
        <v>89</v>
      </c>
      <c r="L260" s="30" t="s">
        <v>90</v>
      </c>
      <c r="M260" s="30" t="s">
        <v>91</v>
      </c>
    </row>
    <row r="261" spans="1:13">
      <c r="A261" s="18">
        <v>2006</v>
      </c>
      <c r="B261" s="18" t="s">
        <v>17</v>
      </c>
      <c r="C261" s="18" t="s">
        <v>21</v>
      </c>
      <c r="D261" s="18" t="s">
        <v>23</v>
      </c>
      <c r="E261" s="18">
        <v>19757</v>
      </c>
      <c r="F261" s="24">
        <v>45002</v>
      </c>
      <c r="K261" s="31" t="s">
        <v>92</v>
      </c>
      <c r="L261" s="31" t="s">
        <v>8</v>
      </c>
      <c r="M261" s="29" t="s">
        <v>27</v>
      </c>
    </row>
    <row r="262" spans="1:13">
      <c r="A262" s="18">
        <v>2007</v>
      </c>
      <c r="B262" s="18" t="s">
        <v>17</v>
      </c>
      <c r="C262" s="18" t="s">
        <v>19</v>
      </c>
      <c r="D262" s="18" t="s">
        <v>24</v>
      </c>
      <c r="E262" s="18">
        <v>32058</v>
      </c>
      <c r="F262" s="24">
        <v>45017</v>
      </c>
      <c r="K262" s="31" t="s">
        <v>93</v>
      </c>
      <c r="L262" s="31" t="s">
        <v>94</v>
      </c>
      <c r="M262" s="32">
        <v>45047</v>
      </c>
    </row>
    <row r="263" spans="1:13">
      <c r="A263" s="18">
        <v>2008</v>
      </c>
      <c r="B263" s="18" t="s">
        <v>11</v>
      </c>
      <c r="C263" s="18" t="s">
        <v>19</v>
      </c>
      <c r="D263" s="18" t="s">
        <v>25</v>
      </c>
      <c r="E263" s="18">
        <v>46429</v>
      </c>
      <c r="F263" s="24">
        <v>45032</v>
      </c>
    </row>
    <row r="264" spans="1:13">
      <c r="A264" s="18">
        <v>2009</v>
      </c>
      <c r="B264" s="18" t="s">
        <v>14</v>
      </c>
      <c r="C264" s="18" t="s">
        <v>19</v>
      </c>
      <c r="D264" s="18" t="s">
        <v>26</v>
      </c>
      <c r="E264" s="18">
        <v>19746</v>
      </c>
      <c r="F264" s="24">
        <v>45047</v>
      </c>
    </row>
    <row r="265" spans="1:13">
      <c r="A265" s="18">
        <v>2010</v>
      </c>
      <c r="B265" s="18" t="s">
        <v>11</v>
      </c>
      <c r="C265" s="18" t="s">
        <v>12</v>
      </c>
      <c r="D265" s="18" t="s">
        <v>27</v>
      </c>
      <c r="E265" s="18">
        <v>35185</v>
      </c>
      <c r="F265" s="24">
        <v>45062</v>
      </c>
    </row>
    <row r="266" spans="1:13">
      <c r="A266" s="18">
        <v>2011</v>
      </c>
      <c r="B266" s="18" t="s">
        <v>11</v>
      </c>
      <c r="C266" s="18" t="s">
        <v>19</v>
      </c>
      <c r="D266" s="18" t="s">
        <v>28</v>
      </c>
      <c r="E266" s="18">
        <v>33920</v>
      </c>
      <c r="F266" s="24">
        <v>45077</v>
      </c>
    </row>
    <row r="267" spans="1:13">
      <c r="A267" s="18">
        <v>2012</v>
      </c>
      <c r="B267" s="18" t="s">
        <v>29</v>
      </c>
      <c r="C267" s="18" t="s">
        <v>21</v>
      </c>
      <c r="D267" s="18" t="s">
        <v>30</v>
      </c>
      <c r="E267" s="18">
        <v>35611</v>
      </c>
      <c r="F267" s="24">
        <v>45092</v>
      </c>
    </row>
    <row r="268" spans="1:13">
      <c r="A268" s="18">
        <v>2013</v>
      </c>
      <c r="B268" s="18" t="s">
        <v>31</v>
      </c>
      <c r="C268" s="18" t="s">
        <v>19</v>
      </c>
      <c r="D268" s="18" t="s">
        <v>32</v>
      </c>
      <c r="E268" s="18">
        <v>15560</v>
      </c>
      <c r="F268" s="24">
        <v>45107</v>
      </c>
    </row>
    <row r="269" spans="1:13">
      <c r="A269" s="18">
        <v>2014</v>
      </c>
      <c r="B269" s="18" t="s">
        <v>31</v>
      </c>
      <c r="C269" s="18" t="s">
        <v>12</v>
      </c>
      <c r="D269" s="18" t="s">
        <v>33</v>
      </c>
      <c r="E269" s="18">
        <v>7283</v>
      </c>
      <c r="F269" s="24">
        <v>45122</v>
      </c>
    </row>
    <row r="270" spans="1:13">
      <c r="A270" s="18">
        <v>2015</v>
      </c>
      <c r="B270" s="18" t="s">
        <v>31</v>
      </c>
      <c r="C270" s="18" t="s">
        <v>19</v>
      </c>
      <c r="D270" s="18" t="s">
        <v>34</v>
      </c>
      <c r="E270" s="18">
        <v>15678</v>
      </c>
      <c r="F270" s="24">
        <v>45137</v>
      </c>
    </row>
    <row r="271" spans="1:13">
      <c r="A271" s="18">
        <v>2016</v>
      </c>
      <c r="B271" s="18" t="s">
        <v>17</v>
      </c>
      <c r="C271" s="18" t="s">
        <v>19</v>
      </c>
      <c r="D271" s="18" t="s">
        <v>35</v>
      </c>
      <c r="E271" s="18">
        <v>5277</v>
      </c>
      <c r="F271" s="24">
        <v>45152</v>
      </c>
    </row>
    <row r="272" spans="1:13">
      <c r="A272" s="18">
        <v>2017</v>
      </c>
      <c r="B272" s="18" t="s">
        <v>29</v>
      </c>
      <c r="C272" s="18" t="s">
        <v>21</v>
      </c>
      <c r="D272" s="18" t="s">
        <v>36</v>
      </c>
      <c r="E272" s="18">
        <v>41871</v>
      </c>
      <c r="F272" s="24">
        <v>45167</v>
      </c>
    </row>
    <row r="273" spans="1:6">
      <c r="A273" s="18">
        <v>2018</v>
      </c>
      <c r="B273" s="18" t="s">
        <v>29</v>
      </c>
      <c r="C273" s="18" t="s">
        <v>15</v>
      </c>
      <c r="D273" s="18" t="s">
        <v>37</v>
      </c>
      <c r="E273" s="18">
        <v>38161</v>
      </c>
      <c r="F273" s="24">
        <v>45182</v>
      </c>
    </row>
    <row r="274" spans="1:6">
      <c r="A274" s="18">
        <v>2019</v>
      </c>
      <c r="B274" s="18" t="s">
        <v>17</v>
      </c>
      <c r="C274" s="18" t="s">
        <v>15</v>
      </c>
      <c r="D274" s="18" t="s">
        <v>38</v>
      </c>
      <c r="E274" s="18">
        <v>30436</v>
      </c>
      <c r="F274" s="24">
        <v>45197</v>
      </c>
    </row>
    <row r="275" spans="1:6">
      <c r="A275" s="21">
        <v>2020</v>
      </c>
      <c r="B275" s="21" t="s">
        <v>14</v>
      </c>
      <c r="C275" s="21" t="s">
        <v>15</v>
      </c>
      <c r="D275" s="21" t="s">
        <v>39</v>
      </c>
      <c r="E275" s="21">
        <v>33953</v>
      </c>
      <c r="F275" s="58">
        <v>45212</v>
      </c>
    </row>
    <row r="276" spans="1:6">
      <c r="A276" s="59" t="s">
        <v>98</v>
      </c>
      <c r="B276" s="59"/>
      <c r="C276" s="59"/>
      <c r="D276" s="59"/>
      <c r="E276" s="59"/>
      <c r="F276" s="59"/>
    </row>
    <row r="277" spans="1:6">
      <c r="A277" t="s">
        <v>87</v>
      </c>
    </row>
  </sheetData>
  <mergeCells count="20">
    <mergeCell ref="A276:F276"/>
    <mergeCell ref="A254:G254"/>
    <mergeCell ref="A209:G209"/>
    <mergeCell ref="A231:G231"/>
    <mergeCell ref="A253:G253"/>
    <mergeCell ref="A138:G138"/>
    <mergeCell ref="A139:G139"/>
    <mergeCell ref="A162:G162"/>
    <mergeCell ref="A185:G185"/>
    <mergeCell ref="A208:G208"/>
    <mergeCell ref="A116:G116"/>
    <mergeCell ref="A70:G70"/>
    <mergeCell ref="A94:G94"/>
    <mergeCell ref="A93:G93"/>
    <mergeCell ref="A48:G48"/>
    <mergeCell ref="A25:G25"/>
    <mergeCell ref="A47:G47"/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 Booster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shastri</dc:creator>
  <cp:lastModifiedBy>mohit shastri</cp:lastModifiedBy>
  <dcterms:created xsi:type="dcterms:W3CDTF">2025-12-26T09:50:52Z</dcterms:created>
  <dcterms:modified xsi:type="dcterms:W3CDTF">2026-01-01T10:42:57Z</dcterms:modified>
</cp:coreProperties>
</file>